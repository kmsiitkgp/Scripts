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https://cedarssinai-my.sharepoint.com/personal/saravanakumar_kailasammani_cshs_org/Documents/Desktop/"/>
    </mc:Choice>
  </mc:AlternateContent>
  <xr:revisionPtr revIDLastSave="84" documentId="13_ncr:1_{A2466FE1-265C-4317-9E21-4650CE6CA182}" xr6:coauthVersionLast="47" xr6:coauthVersionMax="47" xr10:uidLastSave="{A5F146C0-1845-44A5-B3E3-9E285898E848}"/>
  <bookViews>
    <workbookView xWindow="-120" yWindow="-120" windowWidth="29040" windowHeight="15720" xr2:uid="{00000000-000D-0000-FFFF-FFFF00000000}"/>
  </bookViews>
  <sheets>
    <sheet name="Sheet1" sheetId="1" r:id="rId1"/>
    <sheet name="HTO_demultiplexing_table" sheetId="3" r:id="rId2"/>
    <sheet name="Supplementary Table 1" sheetId="4" r:id="rId3"/>
    <sheet name="old_metadata" sheetId="5" r:id="rId4"/>
  </sheets>
  <definedNames>
    <definedName name="_xlnm._FilterDatabase" localSheetId="3" hidden="1">old_metadata!$A$1:$O$82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5" l="1"/>
  <c r="O2" i="5"/>
  <c r="C3" i="5"/>
  <c r="O3" i="5"/>
  <c r="C4" i="5"/>
  <c r="O4" i="5"/>
  <c r="C5" i="5"/>
  <c r="O5" i="5"/>
  <c r="C6" i="5"/>
  <c r="O6" i="5"/>
  <c r="C7" i="5"/>
  <c r="O7" i="5"/>
  <c r="C8" i="5"/>
  <c r="O8" i="5"/>
  <c r="C9" i="5"/>
  <c r="O9" i="5"/>
  <c r="C10" i="5"/>
  <c r="O10" i="5"/>
  <c r="C11" i="5"/>
  <c r="O11" i="5"/>
  <c r="C12" i="5"/>
  <c r="O12" i="5"/>
  <c r="C13" i="5"/>
  <c r="O13" i="5"/>
  <c r="C14" i="5"/>
  <c r="O14" i="5"/>
  <c r="C15" i="5"/>
  <c r="O15" i="5"/>
  <c r="C16" i="5"/>
  <c r="O16" i="5"/>
  <c r="C17" i="5"/>
  <c r="O17" i="5"/>
  <c r="C18" i="5"/>
  <c r="O18" i="5"/>
  <c r="C19" i="5"/>
  <c r="O19" i="5"/>
  <c r="C20" i="5"/>
  <c r="O20" i="5"/>
  <c r="C21" i="5"/>
  <c r="O21" i="5"/>
  <c r="C22" i="5"/>
  <c r="O22" i="5"/>
  <c r="C23" i="5"/>
  <c r="O23" i="5"/>
  <c r="C24" i="5"/>
  <c r="O24" i="5"/>
  <c r="C25" i="5"/>
  <c r="O25" i="5"/>
  <c r="C26" i="5"/>
  <c r="O26" i="5"/>
  <c r="C27" i="5"/>
  <c r="O27" i="5"/>
  <c r="C28" i="5"/>
  <c r="O28" i="5"/>
  <c r="C29" i="5"/>
  <c r="O29" i="5"/>
  <c r="C30" i="5"/>
  <c r="O30" i="5"/>
  <c r="C31" i="5"/>
  <c r="O31" i="5"/>
  <c r="C32" i="5"/>
  <c r="O32" i="5"/>
  <c r="C33" i="5"/>
  <c r="O33" i="5"/>
  <c r="C34" i="5"/>
  <c r="O34" i="5"/>
  <c r="C35" i="5"/>
  <c r="O35" i="5"/>
  <c r="C36" i="5"/>
  <c r="O36" i="5"/>
  <c r="C37" i="5"/>
  <c r="O37" i="5"/>
  <c r="C38" i="5"/>
  <c r="O38" i="5"/>
  <c r="C39" i="5"/>
  <c r="O39" i="5"/>
  <c r="C40" i="5"/>
  <c r="O40" i="5"/>
  <c r="C41" i="5"/>
  <c r="O41" i="5"/>
  <c r="C42" i="5"/>
  <c r="O42" i="5"/>
  <c r="C43" i="5"/>
  <c r="O43" i="5"/>
  <c r="C44" i="5"/>
  <c r="O44" i="5"/>
  <c r="C45" i="5"/>
  <c r="O45" i="5"/>
  <c r="C46" i="5"/>
  <c r="O46" i="5"/>
  <c r="C47" i="5"/>
  <c r="O47" i="5"/>
  <c r="C48" i="5"/>
  <c r="O48" i="5"/>
  <c r="C49" i="5"/>
  <c r="O49" i="5"/>
  <c r="C50" i="5"/>
  <c r="O50" i="5"/>
  <c r="C51" i="5"/>
  <c r="O51" i="5"/>
  <c r="C52" i="5"/>
  <c r="O52" i="5"/>
  <c r="C53" i="5"/>
  <c r="O53" i="5"/>
  <c r="C54" i="5"/>
  <c r="O54" i="5"/>
  <c r="C55" i="5"/>
  <c r="O55" i="5"/>
  <c r="C56" i="5"/>
  <c r="O56" i="5"/>
  <c r="C57" i="5"/>
  <c r="O57" i="5"/>
  <c r="C58" i="5"/>
  <c r="O58" i="5"/>
  <c r="C59" i="5"/>
  <c r="O59" i="5"/>
  <c r="C60" i="5"/>
  <c r="O60" i="5"/>
  <c r="C61" i="5"/>
  <c r="O61" i="5"/>
  <c r="C62" i="5"/>
  <c r="O62" i="5"/>
  <c r="C63" i="5"/>
  <c r="O63" i="5"/>
  <c r="C64" i="5"/>
  <c r="O64" i="5"/>
  <c r="C65" i="5"/>
  <c r="O65" i="5"/>
  <c r="C66" i="5"/>
  <c r="O66" i="5"/>
  <c r="C67" i="5"/>
  <c r="O67" i="5"/>
  <c r="C68" i="5"/>
  <c r="O68" i="5"/>
  <c r="C69" i="5"/>
  <c r="O69" i="5"/>
  <c r="C70" i="5"/>
  <c r="O70" i="5"/>
  <c r="C71" i="5"/>
  <c r="O71" i="5"/>
  <c r="C72" i="5"/>
  <c r="O72" i="5"/>
  <c r="C73" i="5"/>
  <c r="O73" i="5"/>
  <c r="C74" i="5"/>
  <c r="O74" i="5"/>
  <c r="C75" i="5"/>
  <c r="O75" i="5"/>
  <c r="C76" i="5"/>
  <c r="O76" i="5"/>
  <c r="O77" i="5"/>
  <c r="O78" i="5"/>
  <c r="O79" i="5"/>
  <c r="O80" i="5"/>
</calcChain>
</file>

<file path=xl/sharedStrings.xml><?xml version="1.0" encoding="utf-8"?>
<sst xmlns="http://schemas.openxmlformats.org/spreadsheetml/2006/main" count="1983" uniqueCount="338">
  <si>
    <t>Unique_ID</t>
  </si>
  <si>
    <t>Batch</t>
  </si>
  <si>
    <t>Patient</t>
  </si>
  <si>
    <t>Condition</t>
  </si>
  <si>
    <t>Treatment</t>
  </si>
  <si>
    <t>Age</t>
  </si>
  <si>
    <t>Race</t>
  </si>
  <si>
    <t>Sex</t>
  </si>
  <si>
    <t>Grade</t>
  </si>
  <si>
    <t xml:space="preserve">Invasive </t>
  </si>
  <si>
    <t>Stage</t>
  </si>
  <si>
    <t>Strain</t>
  </si>
  <si>
    <t>Tissue</t>
  </si>
  <si>
    <t>Cell_line</t>
  </si>
  <si>
    <t>Collection</t>
  </si>
  <si>
    <t>SRR</t>
  </si>
  <si>
    <t>GSM</t>
  </si>
  <si>
    <t>Comments</t>
  </si>
  <si>
    <t>T1</t>
  </si>
  <si>
    <t>Disease</t>
  </si>
  <si>
    <t>HTO</t>
  </si>
  <si>
    <t>Tumor</t>
  </si>
  <si>
    <t>Normal</t>
  </si>
  <si>
    <t>Healthy</t>
  </si>
  <si>
    <t>Bladder</t>
  </si>
  <si>
    <t>White</t>
  </si>
  <si>
    <t>Male</t>
  </si>
  <si>
    <t>Female</t>
  </si>
  <si>
    <t>A</t>
  </si>
  <si>
    <t>B</t>
  </si>
  <si>
    <t>C</t>
  </si>
  <si>
    <t>Invasive</t>
  </si>
  <si>
    <t>Non-Invasive</t>
  </si>
  <si>
    <t>High Grade</t>
  </si>
  <si>
    <t>BLCA</t>
  </si>
  <si>
    <t>8-1A</t>
  </si>
  <si>
    <t>B8B</t>
  </si>
  <si>
    <t>518-1A</t>
  </si>
  <si>
    <t>485-3A</t>
  </si>
  <si>
    <t>446-3A</t>
  </si>
  <si>
    <t>419-2A</t>
  </si>
  <si>
    <t>593-2A</t>
  </si>
  <si>
    <t>B8A</t>
  </si>
  <si>
    <t>371-1A</t>
  </si>
  <si>
    <t>B7B</t>
  </si>
  <si>
    <t>1204-1A</t>
  </si>
  <si>
    <t>1126-3A</t>
  </si>
  <si>
    <t>913-3A</t>
  </si>
  <si>
    <t>763-1A</t>
  </si>
  <si>
    <t>739-1A</t>
  </si>
  <si>
    <t>B7A</t>
  </si>
  <si>
    <t>72-1A</t>
  </si>
  <si>
    <t>B6B</t>
  </si>
  <si>
    <t>36-2A</t>
  </si>
  <si>
    <t>824-1A</t>
  </si>
  <si>
    <t>590-2A</t>
  </si>
  <si>
    <t>59-1A</t>
  </si>
  <si>
    <t>489-2A</t>
  </si>
  <si>
    <t>B6A</t>
  </si>
  <si>
    <t>1217-3A</t>
  </si>
  <si>
    <t>B5B</t>
  </si>
  <si>
    <t>1192-3A</t>
  </si>
  <si>
    <t>1250-1A</t>
  </si>
  <si>
    <t>1245-2A</t>
  </si>
  <si>
    <t>994-1A</t>
  </si>
  <si>
    <t>914-1A</t>
  </si>
  <si>
    <t>B5A</t>
  </si>
  <si>
    <t>912-3A</t>
  </si>
  <si>
    <t>B4</t>
  </si>
  <si>
    <t>912-2A</t>
  </si>
  <si>
    <t>912-1A</t>
  </si>
  <si>
    <t>896-3A</t>
  </si>
  <si>
    <t>896-2A</t>
  </si>
  <si>
    <t>896-1A</t>
  </si>
  <si>
    <t>844-3A</t>
  </si>
  <si>
    <t>B3</t>
  </si>
  <si>
    <t>844-2A</t>
  </si>
  <si>
    <t>844-1A</t>
  </si>
  <si>
    <t>831-3A</t>
  </si>
  <si>
    <t>831-2A</t>
  </si>
  <si>
    <t>831-1A</t>
  </si>
  <si>
    <t>752-3A</t>
  </si>
  <si>
    <t>B2</t>
  </si>
  <si>
    <t>752-2A</t>
  </si>
  <si>
    <t>752-1A</t>
  </si>
  <si>
    <t>702-3A</t>
  </si>
  <si>
    <t>702-2A</t>
  </si>
  <si>
    <t>702-1A</t>
  </si>
  <si>
    <t>674-3A</t>
  </si>
  <si>
    <t>B1</t>
  </si>
  <si>
    <t>674-2A</t>
  </si>
  <si>
    <t>674-1A</t>
  </si>
  <si>
    <t>54-3A</t>
  </si>
  <si>
    <t>54-2A</t>
  </si>
  <si>
    <t>54-1A</t>
  </si>
  <si>
    <t>1246-3A</t>
  </si>
  <si>
    <t>B0</t>
  </si>
  <si>
    <t>1246-2A</t>
  </si>
  <si>
    <t>1246-1A</t>
  </si>
  <si>
    <t>HTO_tag</t>
  </si>
  <si>
    <t>Sample</t>
  </si>
  <si>
    <t>Declined Adj</t>
  </si>
  <si>
    <t>T2</t>
  </si>
  <si>
    <t>Quit</t>
  </si>
  <si>
    <t>Yes</t>
  </si>
  <si>
    <t>High</t>
  </si>
  <si>
    <t>No</t>
  </si>
  <si>
    <t>Mets to brain</t>
  </si>
  <si>
    <t>T4</t>
  </si>
  <si>
    <t>Died</t>
  </si>
  <si>
    <t>T3</t>
  </si>
  <si>
    <t>Dead</t>
  </si>
  <si>
    <t>Outcome</t>
  </si>
  <si>
    <t>Recurrence Days</t>
  </si>
  <si>
    <t>Tobacco</t>
  </si>
  <si>
    <t>Recurrence</t>
  </si>
  <si>
    <t>Cohort</t>
  </si>
  <si>
    <t>BladdernormalD</t>
  </si>
  <si>
    <t>normalD</t>
  </si>
  <si>
    <t>normalD_NA</t>
  </si>
  <si>
    <t>BladdernormalC</t>
  </si>
  <si>
    <t>normalC</t>
  </si>
  <si>
    <t>normalC_NA</t>
  </si>
  <si>
    <t>BladdernormalB</t>
  </si>
  <si>
    <t>normalB</t>
  </si>
  <si>
    <t>normalB_NA</t>
  </si>
  <si>
    <t>BladdernormalA</t>
  </si>
  <si>
    <t>normalA</t>
  </si>
  <si>
    <t>normalA_NA</t>
  </si>
  <si>
    <t>Bladder1250</t>
  </si>
  <si>
    <t>D</t>
  </si>
  <si>
    <t>Bladder1245</t>
  </si>
  <si>
    <t>Bladder1217</t>
  </si>
  <si>
    <t>F</t>
  </si>
  <si>
    <t>Bladder1192</t>
  </si>
  <si>
    <t>E</t>
  </si>
  <si>
    <t>Bladder994</t>
  </si>
  <si>
    <t>Bladder914</t>
  </si>
  <si>
    <t>Bladder844</t>
  </si>
  <si>
    <t>Bladder831</t>
  </si>
  <si>
    <t>Bladder1246</t>
  </si>
  <si>
    <t>M19</t>
  </si>
  <si>
    <t>U</t>
  </si>
  <si>
    <t>Bladder1204</t>
  </si>
  <si>
    <t>M18</t>
  </si>
  <si>
    <t>W</t>
  </si>
  <si>
    <t>Bladder1126</t>
  </si>
  <si>
    <t>M17</t>
  </si>
  <si>
    <t>Bladder913</t>
  </si>
  <si>
    <t>M16</t>
  </si>
  <si>
    <t>Bladder824</t>
  </si>
  <si>
    <t>M15</t>
  </si>
  <si>
    <t>Bladder763</t>
  </si>
  <si>
    <t>M14</t>
  </si>
  <si>
    <t>Bladder752</t>
  </si>
  <si>
    <t>M20</t>
  </si>
  <si>
    <t>Bladder739</t>
  </si>
  <si>
    <t>M13</t>
  </si>
  <si>
    <t>Bladder702</t>
  </si>
  <si>
    <t>M12</t>
  </si>
  <si>
    <t>Bladder674</t>
  </si>
  <si>
    <t>M11</t>
  </si>
  <si>
    <t>Bladder593</t>
  </si>
  <si>
    <t>M10</t>
  </si>
  <si>
    <t>Bladder590</t>
  </si>
  <si>
    <t>M09</t>
  </si>
  <si>
    <t>Bladder518</t>
  </si>
  <si>
    <t>M08</t>
  </si>
  <si>
    <t>Bladder489</t>
  </si>
  <si>
    <t>M07</t>
  </si>
  <si>
    <t>Bladder485</t>
  </si>
  <si>
    <t>M06</t>
  </si>
  <si>
    <t>Bladder446</t>
  </si>
  <si>
    <t>M05</t>
  </si>
  <si>
    <t>Bladder59</t>
  </si>
  <si>
    <t>M04</t>
  </si>
  <si>
    <t>Bladder54</t>
  </si>
  <si>
    <t>M03</t>
  </si>
  <si>
    <t>Bladder36</t>
  </si>
  <si>
    <t>M02</t>
  </si>
  <si>
    <t>Bladder8</t>
  </si>
  <si>
    <t>M01</t>
  </si>
  <si>
    <t>Bladder912</t>
  </si>
  <si>
    <t>F05</t>
  </si>
  <si>
    <t>Bladder896</t>
  </si>
  <si>
    <t>F04</t>
  </si>
  <si>
    <t>Bladder419</t>
  </si>
  <si>
    <t>F03</t>
  </si>
  <si>
    <t>Bladder371</t>
  </si>
  <si>
    <t>F02</t>
  </si>
  <si>
    <t>Bladder72</t>
  </si>
  <si>
    <t>F01</t>
  </si>
  <si>
    <t>S1</t>
  </si>
  <si>
    <t>S</t>
  </si>
  <si>
    <t>Label</t>
  </si>
  <si>
    <t>Sex_before_correction</t>
  </si>
  <si>
    <t>NormalD</t>
  </si>
  <si>
    <t>NormalC</t>
  </si>
  <si>
    <t>NormalB</t>
  </si>
  <si>
    <t>NormalA</t>
  </si>
  <si>
    <t>B8B_HTO-F</t>
  </si>
  <si>
    <t>B8B_HTO-E</t>
  </si>
  <si>
    <t>B8B_HTO-D</t>
  </si>
  <si>
    <t>B8B_HTO-C</t>
  </si>
  <si>
    <t>B8B_HTO-B</t>
  </si>
  <si>
    <t>B8B_HTO-A</t>
  </si>
  <si>
    <t>B8A_HTO-F</t>
  </si>
  <si>
    <t>B8A_HTO-E</t>
  </si>
  <si>
    <t>B8A_HTO-D</t>
  </si>
  <si>
    <t>B8A_HTO-C</t>
  </si>
  <si>
    <t>B8A_HTO-B</t>
  </si>
  <si>
    <t>B8A_HTO-A</t>
  </si>
  <si>
    <t>Black</t>
  </si>
  <si>
    <t>B7B_HTO-F</t>
  </si>
  <si>
    <t>B7B_HTO-E</t>
  </si>
  <si>
    <t>B7B_HTO-D</t>
  </si>
  <si>
    <t>B7B_HTO-C</t>
  </si>
  <si>
    <t>B7B_HTO-B</t>
  </si>
  <si>
    <t>B7B_HTO-A</t>
  </si>
  <si>
    <t>B7A_HTO-F</t>
  </si>
  <si>
    <t>B7A_HTO-E</t>
  </si>
  <si>
    <t>B7A_HTO-D</t>
  </si>
  <si>
    <t>B7A_HTO-C</t>
  </si>
  <si>
    <t>B7A_HTO-B</t>
  </si>
  <si>
    <t>B7A_HTO-A</t>
  </si>
  <si>
    <t>B6B_HTO-F</t>
  </si>
  <si>
    <t>B6B_HTO-E</t>
  </si>
  <si>
    <t>B6B_HTO-D</t>
  </si>
  <si>
    <t>B6B_HTO-C</t>
  </si>
  <si>
    <t>B6B_HTO-B</t>
  </si>
  <si>
    <t>B6B_HTO-A</t>
  </si>
  <si>
    <t>B6A_HTO-F</t>
  </si>
  <si>
    <t>B6A_HTO-E</t>
  </si>
  <si>
    <t>B6A_HTO-D</t>
  </si>
  <si>
    <t>B6A_HTO-C</t>
  </si>
  <si>
    <t>B6A_HTO-B</t>
  </si>
  <si>
    <t>B6A_HTO-A</t>
  </si>
  <si>
    <t>B5B_HTO-F</t>
  </si>
  <si>
    <t>B5B_HTO-E</t>
  </si>
  <si>
    <t>B5B_HTO-D</t>
  </si>
  <si>
    <t>B5B_HTO-C</t>
  </si>
  <si>
    <t>B5B_HTO-B</t>
  </si>
  <si>
    <t>B5B_HTO-A</t>
  </si>
  <si>
    <t>B5A_HTO-F</t>
  </si>
  <si>
    <t>B5A_HTO-E</t>
  </si>
  <si>
    <t>B5A_HTO-D</t>
  </si>
  <si>
    <t>B5A_HTO-C</t>
  </si>
  <si>
    <t>B5A_HTO-B</t>
  </si>
  <si>
    <t>B5A_HTO-A</t>
  </si>
  <si>
    <t>B4_HTO-F</t>
  </si>
  <si>
    <t>B4_HTO-E</t>
  </si>
  <si>
    <t>B4_HTO-D</t>
  </si>
  <si>
    <t>B4_HTO-C</t>
  </si>
  <si>
    <t>B4_HTO-B</t>
  </si>
  <si>
    <t>B4_HTO-A</t>
  </si>
  <si>
    <t>B3_HTO-F</t>
  </si>
  <si>
    <t>B3_HTO-E</t>
  </si>
  <si>
    <t>B3_HTO-D</t>
  </si>
  <si>
    <t>B3_HTO-C</t>
  </si>
  <si>
    <t>B3_HTO-B</t>
  </si>
  <si>
    <t>B3_HTO-A</t>
  </si>
  <si>
    <t>B2_HTO-F</t>
  </si>
  <si>
    <t>B2_HTO-E</t>
  </si>
  <si>
    <t>B2_HTO-D</t>
  </si>
  <si>
    <t>B2_HTO-C</t>
  </si>
  <si>
    <t>B2_HTO-B</t>
  </si>
  <si>
    <t>B2_HTO-A</t>
  </si>
  <si>
    <t>B0_HTO-C</t>
  </si>
  <si>
    <t>B0_HTO-B</t>
  </si>
  <si>
    <t>B0_HTO-A</t>
  </si>
  <si>
    <t>B1_HTO-F</t>
  </si>
  <si>
    <t>B1_HTO-E</t>
  </si>
  <si>
    <t>B1_HTO-D</t>
  </si>
  <si>
    <t>B1_HTO-C</t>
  </si>
  <si>
    <t>B1_HTO-B</t>
  </si>
  <si>
    <t>B1_HTO-A</t>
  </si>
  <si>
    <t>39 years</t>
  </si>
  <si>
    <t>73 years</t>
  </si>
  <si>
    <t>77 years</t>
  </si>
  <si>
    <t>46 years</t>
  </si>
  <si>
    <t>63 years</t>
  </si>
  <si>
    <t>45 years</t>
  </si>
  <si>
    <t>67 years</t>
  </si>
  <si>
    <t>55 years</t>
  </si>
  <si>
    <t>71 years</t>
  </si>
  <si>
    <t>51 years</t>
  </si>
  <si>
    <t>84 years</t>
  </si>
  <si>
    <t>68 years</t>
  </si>
  <si>
    <t>49 years</t>
  </si>
  <si>
    <t>69 years</t>
  </si>
  <si>
    <t>78 years</t>
  </si>
  <si>
    <t>50 years</t>
  </si>
  <si>
    <t>65 years</t>
  </si>
  <si>
    <t>81 years</t>
  </si>
  <si>
    <t>82 years</t>
  </si>
  <si>
    <t>Smoking</t>
  </si>
  <si>
    <t>Recurring, Never smoked</t>
  </si>
  <si>
    <t>Recurring, Quit smoking</t>
  </si>
  <si>
    <t>Not Recurring, Smoking</t>
  </si>
  <si>
    <t>Recurring, Smoking</t>
  </si>
  <si>
    <t>Not Recurring, Never smoked</t>
  </si>
  <si>
    <t>P54</t>
  </si>
  <si>
    <t>P674</t>
  </si>
  <si>
    <t>P1246</t>
  </si>
  <si>
    <t>P702</t>
  </si>
  <si>
    <t>P752</t>
  </si>
  <si>
    <t>P831</t>
  </si>
  <si>
    <t>P844</t>
  </si>
  <si>
    <t>P896</t>
  </si>
  <si>
    <t>P912</t>
  </si>
  <si>
    <t>P914</t>
  </si>
  <si>
    <t>P994</t>
  </si>
  <si>
    <t>P1245</t>
  </si>
  <si>
    <t>P1250</t>
  </si>
  <si>
    <t>P1192</t>
  </si>
  <si>
    <t>P1217</t>
  </si>
  <si>
    <t>P489</t>
  </si>
  <si>
    <t>P59</t>
  </si>
  <si>
    <t>P590</t>
  </si>
  <si>
    <t>P824</t>
  </si>
  <si>
    <t>P36</t>
  </si>
  <si>
    <t>P72</t>
  </si>
  <si>
    <t>P739</t>
  </si>
  <si>
    <t>P763</t>
  </si>
  <si>
    <t>P913</t>
  </si>
  <si>
    <t>P1126</t>
  </si>
  <si>
    <t>P1204</t>
  </si>
  <si>
    <t>P371</t>
  </si>
  <si>
    <t>P593</t>
  </si>
  <si>
    <t>P419</t>
  </si>
  <si>
    <t>P446</t>
  </si>
  <si>
    <t>P485</t>
  </si>
  <si>
    <t>P518</t>
  </si>
  <si>
    <t>P8</t>
  </si>
  <si>
    <t>PA</t>
  </si>
  <si>
    <t>PB</t>
  </si>
  <si>
    <t>PC</t>
  </si>
  <si>
    <t>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</si>
</sst>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0"/>
  <sheetViews>
    <sheetView tabSelected="1" workbookViewId="0">
      <selection activeCell="E87" sqref="E87"/>
    </sheetView>
  </sheetViews>
  <sheetFormatPr defaultRowHeight="15" x14ac:dyDescent="0.25"/>
  <cols>
    <col min="1" max="1" width="11.140625" style="1" bestFit="1" customWidth="1"/>
    <col min="2" max="2" width="7.42578125" style="1" bestFit="1" customWidth="1"/>
    <col min="3" max="3" width="9.7109375" style="1" bestFit="1" customWidth="1"/>
    <col min="4" max="4" width="10.28515625" style="1" bestFit="1" customWidth="1"/>
    <col min="5" max="5" width="9.7109375" style="1" bestFit="1" customWidth="1"/>
    <col min="6" max="6" width="7.85546875" style="1" bestFit="1" customWidth="1"/>
    <col min="7" max="7" width="8.140625" style="1" bestFit="1" customWidth="1"/>
    <col min="8" max="8" width="8.85546875" style="1" bestFit="1" customWidth="1"/>
    <col min="9" max="9" width="8.140625" style="1" bestFit="1" customWidth="1"/>
    <col min="10" max="10" width="10.7109375" style="1" bestFit="1" customWidth="1"/>
    <col min="11" max="11" width="7.5703125" style="1" bestFit="1" customWidth="1"/>
    <col min="12" max="12" width="11" style="1" bestFit="1" customWidth="1"/>
    <col min="13" max="13" width="12.7109375" style="1" bestFit="1" customWidth="1"/>
    <col min="14" max="14" width="8.140625" style="1" bestFit="1" customWidth="1"/>
    <col min="15" max="15" width="10" style="1" bestFit="1" customWidth="1"/>
    <col min="16" max="16" width="4.7109375" style="1" bestFit="1" customWidth="1"/>
    <col min="17" max="17" width="8.85546875" style="1" bestFit="1" customWidth="1"/>
    <col min="18" max="18" width="4.28515625" style="1" bestFit="1" customWidth="1"/>
    <col min="19" max="19" width="5" style="1" bestFit="1" customWidth="1"/>
    <col min="20" max="20" width="27.5703125" style="1" bestFit="1" customWidth="1"/>
    <col min="21" max="16384" width="9.140625" style="1"/>
  </cols>
  <sheetData>
    <row r="1" spans="1:20" x14ac:dyDescent="0.25">
      <c r="A1" s="2" t="s">
        <v>0</v>
      </c>
      <c r="B1" s="2" t="s">
        <v>2</v>
      </c>
      <c r="C1" s="2" t="s">
        <v>3</v>
      </c>
      <c r="D1" s="2" t="s">
        <v>4</v>
      </c>
      <c r="E1" s="2" t="s">
        <v>19</v>
      </c>
      <c r="F1" s="2" t="s">
        <v>12</v>
      </c>
      <c r="G1" s="2" t="s">
        <v>11</v>
      </c>
      <c r="H1" s="2" t="s">
        <v>13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14</v>
      </c>
      <c r="P1" s="2" t="s">
        <v>20</v>
      </c>
      <c r="Q1" s="2" t="s">
        <v>1</v>
      </c>
      <c r="R1" s="2" t="s">
        <v>15</v>
      </c>
      <c r="S1" s="2" t="s">
        <v>16</v>
      </c>
      <c r="T1" s="2" t="s">
        <v>17</v>
      </c>
    </row>
    <row r="2" spans="1:20" x14ac:dyDescent="0.25">
      <c r="A2" s="2" t="s">
        <v>275</v>
      </c>
      <c r="B2" s="1" t="s">
        <v>301</v>
      </c>
      <c r="C2" s="2" t="s">
        <v>21</v>
      </c>
      <c r="E2" s="1" t="s">
        <v>34</v>
      </c>
      <c r="F2" s="1" t="s">
        <v>24</v>
      </c>
      <c r="I2" s="1" t="s">
        <v>276</v>
      </c>
      <c r="J2" s="2" t="s">
        <v>25</v>
      </c>
      <c r="K2" s="2" t="s">
        <v>26</v>
      </c>
      <c r="L2" s="1" t="s">
        <v>33</v>
      </c>
      <c r="M2" s="2" t="s">
        <v>31</v>
      </c>
      <c r="N2" s="2" t="s">
        <v>102</v>
      </c>
      <c r="P2" s="2" t="s">
        <v>28</v>
      </c>
      <c r="Q2" s="2" t="s">
        <v>89</v>
      </c>
      <c r="T2" s="2" t="s">
        <v>295</v>
      </c>
    </row>
    <row r="3" spans="1:20" x14ac:dyDescent="0.25">
      <c r="A3" s="2" t="s">
        <v>274</v>
      </c>
      <c r="B3" s="1" t="s">
        <v>301</v>
      </c>
      <c r="C3" s="2" t="s">
        <v>21</v>
      </c>
      <c r="E3" s="1" t="s">
        <v>34</v>
      </c>
      <c r="F3" s="1" t="s">
        <v>24</v>
      </c>
      <c r="I3" s="1" t="s">
        <v>276</v>
      </c>
      <c r="J3" s="2" t="s">
        <v>25</v>
      </c>
      <c r="K3" s="2" t="s">
        <v>26</v>
      </c>
      <c r="L3" s="1" t="s">
        <v>33</v>
      </c>
      <c r="M3" s="2" t="s">
        <v>31</v>
      </c>
      <c r="N3" s="2" t="s">
        <v>102</v>
      </c>
      <c r="P3" s="2" t="s">
        <v>29</v>
      </c>
      <c r="Q3" s="2" t="s">
        <v>89</v>
      </c>
      <c r="T3" s="2" t="s">
        <v>295</v>
      </c>
    </row>
    <row r="4" spans="1:20" x14ac:dyDescent="0.25">
      <c r="A4" s="2" t="s">
        <v>273</v>
      </c>
      <c r="B4" s="1" t="s">
        <v>301</v>
      </c>
      <c r="C4" s="2" t="s">
        <v>21</v>
      </c>
      <c r="E4" s="1" t="s">
        <v>34</v>
      </c>
      <c r="F4" s="1" t="s">
        <v>24</v>
      </c>
      <c r="I4" s="1" t="s">
        <v>276</v>
      </c>
      <c r="J4" s="2" t="s">
        <v>25</v>
      </c>
      <c r="K4" s="2" t="s">
        <v>26</v>
      </c>
      <c r="L4" s="1" t="s">
        <v>33</v>
      </c>
      <c r="M4" s="2" t="s">
        <v>31</v>
      </c>
      <c r="N4" s="2" t="s">
        <v>102</v>
      </c>
      <c r="P4" s="2" t="s">
        <v>30</v>
      </c>
      <c r="Q4" s="2" t="s">
        <v>89</v>
      </c>
      <c r="T4" s="2" t="s">
        <v>295</v>
      </c>
    </row>
    <row r="5" spans="1:20" x14ac:dyDescent="0.25">
      <c r="A5" s="2" t="s">
        <v>272</v>
      </c>
      <c r="B5" s="1" t="s">
        <v>302</v>
      </c>
      <c r="C5" s="2" t="s">
        <v>21</v>
      </c>
      <c r="E5" s="1" t="s">
        <v>34</v>
      </c>
      <c r="F5" s="1" t="s">
        <v>24</v>
      </c>
      <c r="I5" s="1" t="s">
        <v>277</v>
      </c>
      <c r="J5" s="2" t="s">
        <v>25</v>
      </c>
      <c r="K5" s="2" t="s">
        <v>26</v>
      </c>
      <c r="L5" s="1" t="s">
        <v>33</v>
      </c>
      <c r="M5" s="2" t="s">
        <v>31</v>
      </c>
      <c r="N5" s="2" t="s">
        <v>102</v>
      </c>
      <c r="P5" s="2" t="s">
        <v>130</v>
      </c>
      <c r="Q5" s="2" t="s">
        <v>89</v>
      </c>
      <c r="T5" s="2" t="s">
        <v>296</v>
      </c>
    </row>
    <row r="6" spans="1:20" x14ac:dyDescent="0.25">
      <c r="A6" s="2" t="s">
        <v>271</v>
      </c>
      <c r="B6" s="1" t="s">
        <v>302</v>
      </c>
      <c r="C6" s="2" t="s">
        <v>21</v>
      </c>
      <c r="E6" s="1" t="s">
        <v>34</v>
      </c>
      <c r="F6" s="1" t="s">
        <v>24</v>
      </c>
      <c r="I6" s="1" t="s">
        <v>277</v>
      </c>
      <c r="J6" s="2" t="s">
        <v>25</v>
      </c>
      <c r="K6" s="2" t="s">
        <v>26</v>
      </c>
      <c r="L6" s="1" t="s">
        <v>33</v>
      </c>
      <c r="M6" s="2" t="s">
        <v>31</v>
      </c>
      <c r="N6" s="2" t="s">
        <v>102</v>
      </c>
      <c r="P6" s="2" t="s">
        <v>135</v>
      </c>
      <c r="Q6" s="2" t="s">
        <v>89</v>
      </c>
      <c r="T6" s="2" t="s">
        <v>296</v>
      </c>
    </row>
    <row r="7" spans="1:20" x14ac:dyDescent="0.25">
      <c r="A7" s="2" t="s">
        <v>270</v>
      </c>
      <c r="B7" s="1" t="s">
        <v>302</v>
      </c>
      <c r="C7" s="2" t="s">
        <v>21</v>
      </c>
      <c r="E7" s="1" t="s">
        <v>34</v>
      </c>
      <c r="F7" s="1" t="s">
        <v>24</v>
      </c>
      <c r="I7" s="1" t="s">
        <v>277</v>
      </c>
      <c r="J7" s="2" t="s">
        <v>25</v>
      </c>
      <c r="K7" s="2" t="s">
        <v>26</v>
      </c>
      <c r="L7" s="1" t="s">
        <v>33</v>
      </c>
      <c r="M7" s="2" t="s">
        <v>31</v>
      </c>
      <c r="N7" s="2" t="s">
        <v>102</v>
      </c>
      <c r="P7" s="2" t="s">
        <v>133</v>
      </c>
      <c r="Q7" s="2" t="s">
        <v>89</v>
      </c>
      <c r="T7" s="2" t="s">
        <v>296</v>
      </c>
    </row>
    <row r="8" spans="1:20" x14ac:dyDescent="0.25">
      <c r="A8" s="2" t="s">
        <v>269</v>
      </c>
      <c r="B8" s="1" t="s">
        <v>303</v>
      </c>
      <c r="C8" s="2" t="s">
        <v>21</v>
      </c>
      <c r="E8" s="1" t="s">
        <v>34</v>
      </c>
      <c r="F8" s="1" t="s">
        <v>24</v>
      </c>
      <c r="I8" s="1" t="s">
        <v>278</v>
      </c>
      <c r="J8" s="2"/>
      <c r="K8" s="2" t="s">
        <v>26</v>
      </c>
      <c r="L8" s="1" t="s">
        <v>33</v>
      </c>
      <c r="M8" s="2" t="s">
        <v>31</v>
      </c>
      <c r="N8" s="2" t="s">
        <v>102</v>
      </c>
      <c r="P8" s="2" t="s">
        <v>28</v>
      </c>
      <c r="Q8" s="2" t="s">
        <v>96</v>
      </c>
      <c r="T8" s="2" t="s">
        <v>297</v>
      </c>
    </row>
    <row r="9" spans="1:20" x14ac:dyDescent="0.25">
      <c r="A9" s="2" t="s">
        <v>268</v>
      </c>
      <c r="B9" s="1" t="s">
        <v>303</v>
      </c>
      <c r="C9" s="2" t="s">
        <v>21</v>
      </c>
      <c r="E9" s="1" t="s">
        <v>34</v>
      </c>
      <c r="F9" s="1" t="s">
        <v>24</v>
      </c>
      <c r="I9" s="1" t="s">
        <v>278</v>
      </c>
      <c r="J9" s="2"/>
      <c r="K9" s="2" t="s">
        <v>26</v>
      </c>
      <c r="L9" s="1" t="s">
        <v>33</v>
      </c>
      <c r="M9" s="2" t="s">
        <v>31</v>
      </c>
      <c r="N9" s="2" t="s">
        <v>102</v>
      </c>
      <c r="P9" s="2" t="s">
        <v>29</v>
      </c>
      <c r="Q9" s="2" t="s">
        <v>96</v>
      </c>
      <c r="T9" s="2" t="s">
        <v>297</v>
      </c>
    </row>
    <row r="10" spans="1:20" x14ac:dyDescent="0.25">
      <c r="A10" s="2" t="s">
        <v>267</v>
      </c>
      <c r="B10" s="1" t="s">
        <v>303</v>
      </c>
      <c r="C10" s="2" t="s">
        <v>21</v>
      </c>
      <c r="E10" s="1" t="s">
        <v>34</v>
      </c>
      <c r="F10" s="1" t="s">
        <v>24</v>
      </c>
      <c r="I10" s="1" t="s">
        <v>278</v>
      </c>
      <c r="J10" s="2"/>
      <c r="K10" s="2" t="s">
        <v>26</v>
      </c>
      <c r="L10" s="1" t="s">
        <v>33</v>
      </c>
      <c r="M10" s="2" t="s">
        <v>31</v>
      </c>
      <c r="N10" s="2" t="s">
        <v>102</v>
      </c>
      <c r="P10" s="2" t="s">
        <v>30</v>
      </c>
      <c r="Q10" s="2" t="s">
        <v>96</v>
      </c>
      <c r="T10" s="2" t="s">
        <v>297</v>
      </c>
    </row>
    <row r="11" spans="1:20" x14ac:dyDescent="0.25">
      <c r="A11" s="2" t="s">
        <v>266</v>
      </c>
      <c r="B11" s="1" t="s">
        <v>304</v>
      </c>
      <c r="C11" s="2" t="s">
        <v>21</v>
      </c>
      <c r="E11" s="1" t="s">
        <v>34</v>
      </c>
      <c r="F11" s="1" t="s">
        <v>24</v>
      </c>
      <c r="I11" s="1" t="s">
        <v>279</v>
      </c>
      <c r="J11" s="2"/>
      <c r="K11" s="2" t="s">
        <v>26</v>
      </c>
      <c r="L11" s="1" t="s">
        <v>33</v>
      </c>
      <c r="M11" s="2" t="s">
        <v>31</v>
      </c>
      <c r="N11" s="2" t="s">
        <v>108</v>
      </c>
      <c r="P11" s="2" t="s">
        <v>28</v>
      </c>
      <c r="Q11" s="2" t="s">
        <v>82</v>
      </c>
      <c r="T11" s="2" t="s">
        <v>298</v>
      </c>
    </row>
    <row r="12" spans="1:20" x14ac:dyDescent="0.25">
      <c r="A12" s="2" t="s">
        <v>265</v>
      </c>
      <c r="B12" s="1" t="s">
        <v>304</v>
      </c>
      <c r="C12" s="2" t="s">
        <v>21</v>
      </c>
      <c r="E12" s="1" t="s">
        <v>34</v>
      </c>
      <c r="F12" s="1" t="s">
        <v>24</v>
      </c>
      <c r="I12" s="1" t="s">
        <v>279</v>
      </c>
      <c r="J12" s="2"/>
      <c r="K12" s="2" t="s">
        <v>26</v>
      </c>
      <c r="L12" s="1" t="s">
        <v>33</v>
      </c>
      <c r="M12" s="2" t="s">
        <v>31</v>
      </c>
      <c r="N12" s="2" t="s">
        <v>108</v>
      </c>
      <c r="P12" s="2" t="s">
        <v>29</v>
      </c>
      <c r="Q12" s="2" t="s">
        <v>82</v>
      </c>
      <c r="T12" s="2" t="s">
        <v>298</v>
      </c>
    </row>
    <row r="13" spans="1:20" x14ac:dyDescent="0.25">
      <c r="A13" s="2" t="s">
        <v>264</v>
      </c>
      <c r="B13" s="1" t="s">
        <v>304</v>
      </c>
      <c r="C13" s="2" t="s">
        <v>21</v>
      </c>
      <c r="E13" s="1" t="s">
        <v>34</v>
      </c>
      <c r="F13" s="1" t="s">
        <v>24</v>
      </c>
      <c r="I13" s="1" t="s">
        <v>279</v>
      </c>
      <c r="J13" s="2"/>
      <c r="K13" s="2" t="s">
        <v>26</v>
      </c>
      <c r="L13" s="1" t="s">
        <v>33</v>
      </c>
      <c r="M13" s="2" t="s">
        <v>31</v>
      </c>
      <c r="N13" s="2" t="s">
        <v>108</v>
      </c>
      <c r="P13" s="2" t="s">
        <v>30</v>
      </c>
      <c r="Q13" s="2" t="s">
        <v>82</v>
      </c>
      <c r="T13" s="2" t="s">
        <v>298</v>
      </c>
    </row>
    <row r="14" spans="1:20" x14ac:dyDescent="0.25">
      <c r="A14" s="2" t="s">
        <v>263</v>
      </c>
      <c r="B14" s="1" t="s">
        <v>305</v>
      </c>
      <c r="C14" s="2" t="s">
        <v>21</v>
      </c>
      <c r="E14" s="1" t="s">
        <v>34</v>
      </c>
      <c r="F14" s="1" t="s">
        <v>24</v>
      </c>
      <c r="I14" s="1" t="s">
        <v>280</v>
      </c>
      <c r="J14" s="2" t="s">
        <v>25</v>
      </c>
      <c r="K14" s="2" t="s">
        <v>26</v>
      </c>
      <c r="L14" s="1" t="s">
        <v>33</v>
      </c>
      <c r="M14" s="2" t="s">
        <v>31</v>
      </c>
      <c r="N14" s="2" t="s">
        <v>102</v>
      </c>
      <c r="P14" s="2" t="s">
        <v>130</v>
      </c>
      <c r="Q14" s="2" t="s">
        <v>82</v>
      </c>
      <c r="T14" s="2" t="s">
        <v>298</v>
      </c>
    </row>
    <row r="15" spans="1:20" x14ac:dyDescent="0.25">
      <c r="A15" s="2" t="s">
        <v>262</v>
      </c>
      <c r="B15" s="1" t="s">
        <v>305</v>
      </c>
      <c r="C15" s="2" t="s">
        <v>21</v>
      </c>
      <c r="E15" s="1" t="s">
        <v>34</v>
      </c>
      <c r="F15" s="1" t="s">
        <v>24</v>
      </c>
      <c r="I15" s="1" t="s">
        <v>280</v>
      </c>
      <c r="J15" s="2" t="s">
        <v>25</v>
      </c>
      <c r="K15" s="2" t="s">
        <v>26</v>
      </c>
      <c r="L15" s="1" t="s">
        <v>33</v>
      </c>
      <c r="M15" s="2" t="s">
        <v>31</v>
      </c>
      <c r="N15" s="2" t="s">
        <v>102</v>
      </c>
      <c r="P15" s="2" t="s">
        <v>135</v>
      </c>
      <c r="Q15" s="2" t="s">
        <v>82</v>
      </c>
      <c r="T15" s="2" t="s">
        <v>298</v>
      </c>
    </row>
    <row r="16" spans="1:20" x14ac:dyDescent="0.25">
      <c r="A16" s="2" t="s">
        <v>261</v>
      </c>
      <c r="B16" s="1" t="s">
        <v>305</v>
      </c>
      <c r="C16" s="2" t="s">
        <v>21</v>
      </c>
      <c r="E16" s="1" t="s">
        <v>34</v>
      </c>
      <c r="F16" s="1" t="s">
        <v>24</v>
      </c>
      <c r="I16" s="1" t="s">
        <v>280</v>
      </c>
      <c r="J16" s="2" t="s">
        <v>25</v>
      </c>
      <c r="K16" s="2" t="s">
        <v>26</v>
      </c>
      <c r="L16" s="1" t="s">
        <v>33</v>
      </c>
      <c r="M16" s="2" t="s">
        <v>31</v>
      </c>
      <c r="N16" s="2" t="s">
        <v>102</v>
      </c>
      <c r="P16" s="2" t="s">
        <v>133</v>
      </c>
      <c r="Q16" s="2" t="s">
        <v>82</v>
      </c>
      <c r="T16" s="2" t="s">
        <v>298</v>
      </c>
    </row>
    <row r="17" spans="1:20" x14ac:dyDescent="0.25">
      <c r="A17" s="2" t="s">
        <v>260</v>
      </c>
      <c r="B17" s="1" t="s">
        <v>306</v>
      </c>
      <c r="C17" s="2" t="s">
        <v>21</v>
      </c>
      <c r="E17" s="1" t="s">
        <v>34</v>
      </c>
      <c r="F17" s="1" t="s">
        <v>24</v>
      </c>
      <c r="J17" s="2"/>
      <c r="K17" s="2"/>
      <c r="M17" s="2"/>
      <c r="N17" s="2"/>
      <c r="P17" s="1" t="s">
        <v>28</v>
      </c>
      <c r="Q17" s="1" t="s">
        <v>75</v>
      </c>
      <c r="T17" s="2"/>
    </row>
    <row r="18" spans="1:20" x14ac:dyDescent="0.25">
      <c r="A18" s="2" t="s">
        <v>259</v>
      </c>
      <c r="B18" s="1" t="s">
        <v>306</v>
      </c>
      <c r="C18" s="2" t="s">
        <v>21</v>
      </c>
      <c r="E18" s="1" t="s">
        <v>34</v>
      </c>
      <c r="F18" s="1" t="s">
        <v>24</v>
      </c>
      <c r="J18" s="2"/>
      <c r="K18" s="2"/>
      <c r="M18" s="2"/>
      <c r="N18" s="2"/>
      <c r="P18" s="1" t="s">
        <v>29</v>
      </c>
      <c r="Q18" s="1" t="s">
        <v>75</v>
      </c>
      <c r="T18" s="2"/>
    </row>
    <row r="19" spans="1:20" x14ac:dyDescent="0.25">
      <c r="A19" s="2" t="s">
        <v>258</v>
      </c>
      <c r="B19" s="1" t="s">
        <v>306</v>
      </c>
      <c r="C19" s="2" t="s">
        <v>21</v>
      </c>
      <c r="E19" s="1" t="s">
        <v>34</v>
      </c>
      <c r="F19" s="1" t="s">
        <v>24</v>
      </c>
      <c r="J19" s="2"/>
      <c r="K19" s="2"/>
      <c r="M19" s="2"/>
      <c r="N19" s="2"/>
      <c r="P19" s="1" t="s">
        <v>30</v>
      </c>
      <c r="Q19" s="1" t="s">
        <v>75</v>
      </c>
      <c r="T19" s="2"/>
    </row>
    <row r="20" spans="1:20" x14ac:dyDescent="0.25">
      <c r="A20" s="2" t="s">
        <v>257</v>
      </c>
      <c r="B20" s="1" t="s">
        <v>307</v>
      </c>
      <c r="C20" s="2" t="s">
        <v>21</v>
      </c>
      <c r="E20" s="1" t="s">
        <v>34</v>
      </c>
      <c r="F20" s="1" t="s">
        <v>24</v>
      </c>
      <c r="J20" s="2"/>
      <c r="K20" s="2"/>
      <c r="M20" s="2"/>
      <c r="N20" s="2"/>
      <c r="P20" s="1" t="s">
        <v>130</v>
      </c>
      <c r="Q20" s="1" t="s">
        <v>75</v>
      </c>
      <c r="T20" s="2"/>
    </row>
    <row r="21" spans="1:20" x14ac:dyDescent="0.25">
      <c r="A21" s="2" t="s">
        <v>256</v>
      </c>
      <c r="B21" s="1" t="s">
        <v>307</v>
      </c>
      <c r="C21" s="2" t="s">
        <v>21</v>
      </c>
      <c r="E21" s="1" t="s">
        <v>34</v>
      </c>
      <c r="F21" s="1" t="s">
        <v>24</v>
      </c>
      <c r="J21" s="2"/>
      <c r="K21" s="2"/>
      <c r="M21" s="2"/>
      <c r="N21" s="2"/>
      <c r="P21" s="1" t="s">
        <v>135</v>
      </c>
      <c r="Q21" s="1" t="s">
        <v>75</v>
      </c>
      <c r="T21" s="2"/>
    </row>
    <row r="22" spans="1:20" x14ac:dyDescent="0.25">
      <c r="A22" s="2" t="s">
        <v>255</v>
      </c>
      <c r="B22" s="1" t="s">
        <v>307</v>
      </c>
      <c r="C22" s="2" t="s">
        <v>21</v>
      </c>
      <c r="E22" s="1" t="s">
        <v>34</v>
      </c>
      <c r="F22" s="1" t="s">
        <v>24</v>
      </c>
      <c r="J22" s="2"/>
      <c r="K22" s="2"/>
      <c r="M22" s="2"/>
      <c r="N22" s="2"/>
      <c r="P22" s="1" t="s">
        <v>133</v>
      </c>
      <c r="Q22" s="1" t="s">
        <v>75</v>
      </c>
      <c r="T22" s="2"/>
    </row>
    <row r="23" spans="1:20" x14ac:dyDescent="0.25">
      <c r="A23" s="2" t="s">
        <v>254</v>
      </c>
      <c r="B23" s="1" t="s">
        <v>308</v>
      </c>
      <c r="C23" s="2" t="s">
        <v>21</v>
      </c>
      <c r="E23" s="1" t="s">
        <v>34</v>
      </c>
      <c r="F23" s="1" t="s">
        <v>24</v>
      </c>
      <c r="I23" s="1" t="s">
        <v>281</v>
      </c>
      <c r="J23" s="2" t="s">
        <v>212</v>
      </c>
      <c r="K23" s="2" t="s">
        <v>27</v>
      </c>
      <c r="L23" s="1" t="s">
        <v>33</v>
      </c>
      <c r="M23" s="2" t="s">
        <v>31</v>
      </c>
      <c r="N23" s="2" t="s">
        <v>102</v>
      </c>
      <c r="P23" s="2" t="s">
        <v>28</v>
      </c>
      <c r="Q23" s="2" t="s">
        <v>68</v>
      </c>
      <c r="T23" s="2" t="s">
        <v>299</v>
      </c>
    </row>
    <row r="24" spans="1:20" x14ac:dyDescent="0.25">
      <c r="A24" s="2" t="s">
        <v>253</v>
      </c>
      <c r="B24" s="1" t="s">
        <v>308</v>
      </c>
      <c r="C24" s="2" t="s">
        <v>21</v>
      </c>
      <c r="E24" s="1" t="s">
        <v>34</v>
      </c>
      <c r="F24" s="1" t="s">
        <v>24</v>
      </c>
      <c r="I24" s="1" t="s">
        <v>281</v>
      </c>
      <c r="J24" s="2" t="s">
        <v>212</v>
      </c>
      <c r="K24" s="2" t="s">
        <v>27</v>
      </c>
      <c r="L24" s="1" t="s">
        <v>33</v>
      </c>
      <c r="M24" s="2" t="s">
        <v>31</v>
      </c>
      <c r="N24" s="2" t="s">
        <v>102</v>
      </c>
      <c r="P24" s="2" t="s">
        <v>29</v>
      </c>
      <c r="Q24" s="2" t="s">
        <v>68</v>
      </c>
      <c r="T24" s="2" t="s">
        <v>299</v>
      </c>
    </row>
    <row r="25" spans="1:20" x14ac:dyDescent="0.25">
      <c r="A25" s="2" t="s">
        <v>252</v>
      </c>
      <c r="B25" s="1" t="s">
        <v>308</v>
      </c>
      <c r="C25" s="2" t="s">
        <v>21</v>
      </c>
      <c r="E25" s="1" t="s">
        <v>34</v>
      </c>
      <c r="F25" s="1" t="s">
        <v>24</v>
      </c>
      <c r="I25" s="1" t="s">
        <v>281</v>
      </c>
      <c r="J25" s="2" t="s">
        <v>212</v>
      </c>
      <c r="K25" s="2" t="s">
        <v>27</v>
      </c>
      <c r="L25" s="1" t="s">
        <v>33</v>
      </c>
      <c r="M25" s="2" t="s">
        <v>31</v>
      </c>
      <c r="N25" s="2" t="s">
        <v>102</v>
      </c>
      <c r="P25" s="2" t="s">
        <v>30</v>
      </c>
      <c r="Q25" s="2" t="s">
        <v>68</v>
      </c>
      <c r="T25" s="2" t="s">
        <v>299</v>
      </c>
    </row>
    <row r="26" spans="1:20" x14ac:dyDescent="0.25">
      <c r="A26" s="2" t="s">
        <v>251</v>
      </c>
      <c r="B26" s="1" t="s">
        <v>309</v>
      </c>
      <c r="C26" s="2" t="s">
        <v>21</v>
      </c>
      <c r="E26" s="1" t="s">
        <v>34</v>
      </c>
      <c r="F26" s="1" t="s">
        <v>24</v>
      </c>
      <c r="I26" s="1" t="s">
        <v>282</v>
      </c>
      <c r="J26" s="2"/>
      <c r="K26" s="2" t="s">
        <v>27</v>
      </c>
      <c r="L26" s="1" t="s">
        <v>33</v>
      </c>
      <c r="M26" s="2" t="s">
        <v>31</v>
      </c>
      <c r="N26" s="2" t="s">
        <v>102</v>
      </c>
      <c r="P26" s="2" t="s">
        <v>130</v>
      </c>
      <c r="Q26" s="2" t="s">
        <v>68</v>
      </c>
      <c r="T26" s="2" t="s">
        <v>300</v>
      </c>
    </row>
    <row r="27" spans="1:20" x14ac:dyDescent="0.25">
      <c r="A27" s="2" t="s">
        <v>250</v>
      </c>
      <c r="B27" s="1" t="s">
        <v>309</v>
      </c>
      <c r="C27" s="2" t="s">
        <v>21</v>
      </c>
      <c r="E27" s="1" t="s">
        <v>34</v>
      </c>
      <c r="F27" s="1" t="s">
        <v>24</v>
      </c>
      <c r="I27" s="1" t="s">
        <v>282</v>
      </c>
      <c r="J27" s="2"/>
      <c r="K27" s="2" t="s">
        <v>27</v>
      </c>
      <c r="L27" s="1" t="s">
        <v>33</v>
      </c>
      <c r="M27" s="2" t="s">
        <v>31</v>
      </c>
      <c r="N27" s="2" t="s">
        <v>102</v>
      </c>
      <c r="P27" s="2" t="s">
        <v>135</v>
      </c>
      <c r="Q27" s="2" t="s">
        <v>68</v>
      </c>
      <c r="T27" s="2" t="s">
        <v>300</v>
      </c>
    </row>
    <row r="28" spans="1:20" x14ac:dyDescent="0.25">
      <c r="A28" s="2" t="s">
        <v>249</v>
      </c>
      <c r="B28" s="1" t="s">
        <v>309</v>
      </c>
      <c r="C28" s="2" t="s">
        <v>21</v>
      </c>
      <c r="E28" s="1" t="s">
        <v>34</v>
      </c>
      <c r="F28" s="1" t="s">
        <v>24</v>
      </c>
      <c r="I28" s="1" t="s">
        <v>282</v>
      </c>
      <c r="J28" s="2"/>
      <c r="K28" s="2" t="s">
        <v>27</v>
      </c>
      <c r="L28" s="1" t="s">
        <v>33</v>
      </c>
      <c r="M28" s="2" t="s">
        <v>31</v>
      </c>
      <c r="N28" s="2" t="s">
        <v>102</v>
      </c>
      <c r="P28" s="2" t="s">
        <v>133</v>
      </c>
      <c r="Q28" s="2" t="s">
        <v>68</v>
      </c>
      <c r="T28" s="2" t="s">
        <v>300</v>
      </c>
    </row>
    <row r="29" spans="1:20" x14ac:dyDescent="0.25">
      <c r="A29" s="2" t="s">
        <v>248</v>
      </c>
      <c r="B29" s="1" t="s">
        <v>310</v>
      </c>
      <c r="C29" s="2" t="s">
        <v>21</v>
      </c>
      <c r="E29" s="1" t="s">
        <v>34</v>
      </c>
      <c r="F29" s="1" t="s">
        <v>24</v>
      </c>
      <c r="J29" s="2"/>
      <c r="K29" s="2"/>
      <c r="M29" s="2"/>
      <c r="N29" s="2"/>
      <c r="P29" s="1" t="s">
        <v>28</v>
      </c>
      <c r="Q29" s="1" t="s">
        <v>66</v>
      </c>
      <c r="T29" s="2"/>
    </row>
    <row r="30" spans="1:20" x14ac:dyDescent="0.25">
      <c r="A30" s="2" t="s">
        <v>247</v>
      </c>
      <c r="B30" s="1" t="s">
        <v>311</v>
      </c>
      <c r="C30" s="2" t="s">
        <v>21</v>
      </c>
      <c r="E30" s="1" t="s">
        <v>34</v>
      </c>
      <c r="F30" s="1" t="s">
        <v>24</v>
      </c>
      <c r="J30" s="2"/>
      <c r="K30" s="2"/>
      <c r="M30" s="2"/>
      <c r="N30" s="2"/>
      <c r="P30" s="1" t="s">
        <v>29</v>
      </c>
      <c r="Q30" s="1" t="s">
        <v>66</v>
      </c>
      <c r="T30" s="2"/>
    </row>
    <row r="31" spans="1:20" x14ac:dyDescent="0.25">
      <c r="A31" s="2" t="s">
        <v>246</v>
      </c>
      <c r="B31" s="1" t="s">
        <v>312</v>
      </c>
      <c r="C31" s="2" t="s">
        <v>21</v>
      </c>
      <c r="E31" s="1" t="s">
        <v>34</v>
      </c>
      <c r="F31" s="1" t="s">
        <v>24</v>
      </c>
      <c r="J31" s="2"/>
      <c r="K31" s="2"/>
      <c r="M31" s="2"/>
      <c r="N31" s="2"/>
      <c r="P31" s="1" t="s">
        <v>30</v>
      </c>
      <c r="Q31" s="1" t="s">
        <v>66</v>
      </c>
      <c r="T31" s="2"/>
    </row>
    <row r="32" spans="1:20" x14ac:dyDescent="0.25">
      <c r="A32" s="2" t="s">
        <v>245</v>
      </c>
      <c r="B32" s="1" t="s">
        <v>313</v>
      </c>
      <c r="C32" s="2" t="s">
        <v>21</v>
      </c>
      <c r="E32" s="1" t="s">
        <v>34</v>
      </c>
      <c r="F32" s="1" t="s">
        <v>24</v>
      </c>
      <c r="J32" s="2"/>
      <c r="K32" s="2"/>
      <c r="M32" s="2"/>
      <c r="N32" s="2"/>
      <c r="P32" s="1" t="s">
        <v>130</v>
      </c>
      <c r="Q32" s="1" t="s">
        <v>66</v>
      </c>
      <c r="T32" s="2"/>
    </row>
    <row r="33" spans="1:20" x14ac:dyDescent="0.25">
      <c r="A33" s="2" t="s">
        <v>244</v>
      </c>
      <c r="B33" s="1" t="s">
        <v>314</v>
      </c>
      <c r="C33" s="2" t="s">
        <v>21</v>
      </c>
      <c r="E33" s="1" t="s">
        <v>34</v>
      </c>
      <c r="F33" s="1" t="s">
        <v>24</v>
      </c>
      <c r="J33" s="2"/>
      <c r="K33" s="2"/>
      <c r="M33" s="2"/>
      <c r="N33" s="2"/>
      <c r="P33" s="1" t="s">
        <v>135</v>
      </c>
      <c r="Q33" s="1" t="s">
        <v>66</v>
      </c>
      <c r="T33" s="2"/>
    </row>
    <row r="34" spans="1:20" x14ac:dyDescent="0.25">
      <c r="A34" s="2" t="s">
        <v>243</v>
      </c>
      <c r="B34" s="1" t="s">
        <v>315</v>
      </c>
      <c r="C34" s="2" t="s">
        <v>21</v>
      </c>
      <c r="E34" s="1" t="s">
        <v>34</v>
      </c>
      <c r="F34" s="1" t="s">
        <v>24</v>
      </c>
      <c r="J34" s="2"/>
      <c r="K34" s="2"/>
      <c r="M34" s="2"/>
      <c r="N34" s="2"/>
      <c r="P34" s="1" t="s">
        <v>133</v>
      </c>
      <c r="Q34" s="1" t="s">
        <v>66</v>
      </c>
      <c r="T34" s="2"/>
    </row>
    <row r="35" spans="1:20" x14ac:dyDescent="0.25">
      <c r="A35" s="2" t="s">
        <v>242</v>
      </c>
      <c r="B35" s="1" t="s">
        <v>310</v>
      </c>
      <c r="C35" s="2" t="s">
        <v>21</v>
      </c>
      <c r="E35" s="1" t="s">
        <v>34</v>
      </c>
      <c r="F35" s="1" t="s">
        <v>24</v>
      </c>
      <c r="J35" s="2"/>
      <c r="K35" s="2"/>
      <c r="M35" s="2"/>
      <c r="N35" s="2"/>
      <c r="P35" s="1" t="s">
        <v>28</v>
      </c>
      <c r="Q35" s="1" t="s">
        <v>60</v>
      </c>
      <c r="T35" s="2"/>
    </row>
    <row r="36" spans="1:20" x14ac:dyDescent="0.25">
      <c r="A36" s="2" t="s">
        <v>241</v>
      </c>
      <c r="B36" s="1" t="s">
        <v>311</v>
      </c>
      <c r="C36" s="2" t="s">
        <v>21</v>
      </c>
      <c r="E36" s="1" t="s">
        <v>34</v>
      </c>
      <c r="F36" s="1" t="s">
        <v>24</v>
      </c>
      <c r="J36" s="2"/>
      <c r="K36" s="2"/>
      <c r="M36" s="2"/>
      <c r="N36" s="2"/>
      <c r="P36" s="1" t="s">
        <v>29</v>
      </c>
      <c r="Q36" s="1" t="s">
        <v>60</v>
      </c>
      <c r="T36" s="2"/>
    </row>
    <row r="37" spans="1:20" x14ac:dyDescent="0.25">
      <c r="A37" s="2" t="s">
        <v>240</v>
      </c>
      <c r="B37" s="1" t="s">
        <v>312</v>
      </c>
      <c r="C37" s="2" t="s">
        <v>21</v>
      </c>
      <c r="E37" s="1" t="s">
        <v>34</v>
      </c>
      <c r="F37" s="1" t="s">
        <v>24</v>
      </c>
      <c r="J37" s="2"/>
      <c r="K37" s="2"/>
      <c r="M37" s="2"/>
      <c r="N37" s="2"/>
      <c r="P37" s="1" t="s">
        <v>30</v>
      </c>
      <c r="Q37" s="1" t="s">
        <v>60</v>
      </c>
      <c r="T37" s="2"/>
    </row>
    <row r="38" spans="1:20" x14ac:dyDescent="0.25">
      <c r="A38" s="2" t="s">
        <v>239</v>
      </c>
      <c r="B38" s="1" t="s">
        <v>313</v>
      </c>
      <c r="C38" s="2" t="s">
        <v>21</v>
      </c>
      <c r="E38" s="1" t="s">
        <v>34</v>
      </c>
      <c r="F38" s="1" t="s">
        <v>24</v>
      </c>
      <c r="J38" s="2"/>
      <c r="K38" s="2"/>
      <c r="M38" s="2"/>
      <c r="N38" s="2"/>
      <c r="P38" s="1" t="s">
        <v>130</v>
      </c>
      <c r="Q38" s="1" t="s">
        <v>60</v>
      </c>
      <c r="T38" s="2"/>
    </row>
    <row r="39" spans="1:20" x14ac:dyDescent="0.25">
      <c r="A39" s="2" t="s">
        <v>238</v>
      </c>
      <c r="B39" s="1" t="s">
        <v>314</v>
      </c>
      <c r="C39" s="2" t="s">
        <v>21</v>
      </c>
      <c r="E39" s="1" t="s">
        <v>34</v>
      </c>
      <c r="F39" s="1" t="s">
        <v>24</v>
      </c>
      <c r="J39" s="2"/>
      <c r="K39" s="2"/>
      <c r="M39" s="2"/>
      <c r="N39" s="2"/>
      <c r="P39" s="1" t="s">
        <v>135</v>
      </c>
      <c r="Q39" s="1" t="s">
        <v>60</v>
      </c>
      <c r="T39" s="2"/>
    </row>
    <row r="40" spans="1:20" x14ac:dyDescent="0.25">
      <c r="A40" s="2" t="s">
        <v>237</v>
      </c>
      <c r="B40" s="1" t="s">
        <v>315</v>
      </c>
      <c r="C40" s="2" t="s">
        <v>21</v>
      </c>
      <c r="E40" s="1" t="s">
        <v>34</v>
      </c>
      <c r="F40" s="1" t="s">
        <v>24</v>
      </c>
      <c r="J40" s="2"/>
      <c r="K40" s="2"/>
      <c r="M40" s="2"/>
      <c r="N40" s="2"/>
      <c r="P40" s="1" t="s">
        <v>133</v>
      </c>
      <c r="Q40" s="1" t="s">
        <v>60</v>
      </c>
      <c r="T40" s="2"/>
    </row>
    <row r="41" spans="1:20" x14ac:dyDescent="0.25">
      <c r="A41" s="2" t="s">
        <v>236</v>
      </c>
      <c r="B41" s="1" t="s">
        <v>316</v>
      </c>
      <c r="C41" s="2" t="s">
        <v>21</v>
      </c>
      <c r="E41" s="1" t="s">
        <v>34</v>
      </c>
      <c r="F41" s="1" t="s">
        <v>24</v>
      </c>
      <c r="I41" s="1" t="s">
        <v>283</v>
      </c>
      <c r="J41" s="2" t="s">
        <v>25</v>
      </c>
      <c r="K41" s="2" t="s">
        <v>26</v>
      </c>
      <c r="L41" s="1" t="s">
        <v>33</v>
      </c>
      <c r="M41" s="2" t="s">
        <v>31</v>
      </c>
      <c r="N41" s="2" t="s">
        <v>102</v>
      </c>
      <c r="P41" s="2" t="s">
        <v>28</v>
      </c>
      <c r="Q41" s="2" t="s">
        <v>58</v>
      </c>
      <c r="T41" s="2" t="s">
        <v>298</v>
      </c>
    </row>
    <row r="42" spans="1:20" x14ac:dyDescent="0.25">
      <c r="A42" s="2" t="s">
        <v>235</v>
      </c>
      <c r="B42" s="1" t="s">
        <v>317</v>
      </c>
      <c r="C42" s="2" t="s">
        <v>21</v>
      </c>
      <c r="E42" s="1" t="s">
        <v>34</v>
      </c>
      <c r="F42" s="1" t="s">
        <v>24</v>
      </c>
      <c r="I42" s="1" t="s">
        <v>284</v>
      </c>
      <c r="J42" s="2" t="s">
        <v>212</v>
      </c>
      <c r="K42" s="2" t="s">
        <v>26</v>
      </c>
      <c r="L42" s="1" t="s">
        <v>33</v>
      </c>
      <c r="M42" s="2" t="s">
        <v>31</v>
      </c>
      <c r="N42" s="2" t="s">
        <v>102</v>
      </c>
      <c r="P42" s="2" t="s">
        <v>29</v>
      </c>
      <c r="Q42" s="2" t="s">
        <v>58</v>
      </c>
      <c r="T42" s="2" t="s">
        <v>298</v>
      </c>
    </row>
    <row r="43" spans="1:20" x14ac:dyDescent="0.25">
      <c r="A43" s="2" t="s">
        <v>234</v>
      </c>
      <c r="B43" s="1" t="s">
        <v>318</v>
      </c>
      <c r="C43" s="2" t="s">
        <v>21</v>
      </c>
      <c r="E43" s="1" t="s">
        <v>34</v>
      </c>
      <c r="F43" s="1" t="s">
        <v>24</v>
      </c>
      <c r="I43" s="1" t="s">
        <v>285</v>
      </c>
      <c r="J43" s="2" t="s">
        <v>25</v>
      </c>
      <c r="K43" s="2" t="s">
        <v>26</v>
      </c>
      <c r="L43" s="1" t="s">
        <v>33</v>
      </c>
      <c r="M43" s="2" t="s">
        <v>31</v>
      </c>
      <c r="N43" s="2" t="s">
        <v>102</v>
      </c>
      <c r="P43" s="2" t="s">
        <v>30</v>
      </c>
      <c r="Q43" s="2" t="s">
        <v>58</v>
      </c>
      <c r="T43" s="2" t="s">
        <v>298</v>
      </c>
    </row>
    <row r="44" spans="1:20" x14ac:dyDescent="0.25">
      <c r="A44" s="2" t="s">
        <v>233</v>
      </c>
      <c r="B44" s="1" t="s">
        <v>319</v>
      </c>
      <c r="C44" s="2" t="s">
        <v>21</v>
      </c>
      <c r="E44" s="1" t="s">
        <v>34</v>
      </c>
      <c r="F44" s="1" t="s">
        <v>24</v>
      </c>
      <c r="I44" s="1" t="s">
        <v>282</v>
      </c>
      <c r="J44" s="2" t="s">
        <v>25</v>
      </c>
      <c r="K44" s="2" t="s">
        <v>26</v>
      </c>
      <c r="L44" s="1" t="s">
        <v>33</v>
      </c>
      <c r="M44" s="2" t="s">
        <v>32</v>
      </c>
      <c r="N44" s="2" t="s">
        <v>18</v>
      </c>
      <c r="P44" s="2" t="s">
        <v>130</v>
      </c>
      <c r="Q44" s="2" t="s">
        <v>58</v>
      </c>
      <c r="T44" s="2" t="s">
        <v>298</v>
      </c>
    </row>
    <row r="45" spans="1:20" x14ac:dyDescent="0.25">
      <c r="A45" s="2" t="s">
        <v>232</v>
      </c>
      <c r="B45" s="1" t="s">
        <v>320</v>
      </c>
      <c r="C45" s="2" t="s">
        <v>21</v>
      </c>
      <c r="E45" s="1" t="s">
        <v>34</v>
      </c>
      <c r="F45" s="1" t="s">
        <v>24</v>
      </c>
      <c r="I45" s="1" t="s">
        <v>286</v>
      </c>
      <c r="J45" s="2" t="s">
        <v>212</v>
      </c>
      <c r="K45" s="2" t="s">
        <v>26</v>
      </c>
      <c r="L45" s="1" t="s">
        <v>33</v>
      </c>
      <c r="M45" s="2" t="s">
        <v>31</v>
      </c>
      <c r="N45" s="2" t="s">
        <v>110</v>
      </c>
      <c r="P45" s="2" t="s">
        <v>135</v>
      </c>
      <c r="Q45" s="2" t="s">
        <v>58</v>
      </c>
      <c r="T45" s="2" t="s">
        <v>298</v>
      </c>
    </row>
    <row r="46" spans="1:20" x14ac:dyDescent="0.25">
      <c r="A46" s="2" t="s">
        <v>231</v>
      </c>
      <c r="B46" s="1" t="s">
        <v>321</v>
      </c>
      <c r="C46" s="2" t="s">
        <v>21</v>
      </c>
      <c r="E46" s="1" t="s">
        <v>34</v>
      </c>
      <c r="F46" s="1" t="s">
        <v>24</v>
      </c>
      <c r="I46" s="1" t="s">
        <v>287</v>
      </c>
      <c r="J46" s="2" t="s">
        <v>25</v>
      </c>
      <c r="K46" s="2" t="s">
        <v>26</v>
      </c>
      <c r="L46" s="1" t="s">
        <v>33</v>
      </c>
      <c r="M46" s="2" t="s">
        <v>31</v>
      </c>
      <c r="N46" s="2" t="s">
        <v>102</v>
      </c>
      <c r="P46" s="2" t="s">
        <v>133</v>
      </c>
      <c r="Q46" s="2" t="s">
        <v>58</v>
      </c>
      <c r="T46" s="2" t="s">
        <v>298</v>
      </c>
    </row>
    <row r="47" spans="1:20" x14ac:dyDescent="0.25">
      <c r="A47" s="2" t="s">
        <v>230</v>
      </c>
      <c r="B47" s="1" t="s">
        <v>316</v>
      </c>
      <c r="C47" s="2" t="s">
        <v>21</v>
      </c>
      <c r="E47" s="1" t="s">
        <v>34</v>
      </c>
      <c r="F47" s="1" t="s">
        <v>24</v>
      </c>
      <c r="I47" s="1" t="s">
        <v>283</v>
      </c>
      <c r="J47" s="2" t="s">
        <v>25</v>
      </c>
      <c r="K47" s="2" t="s">
        <v>26</v>
      </c>
      <c r="L47" s="1" t="s">
        <v>33</v>
      </c>
      <c r="M47" s="2" t="s">
        <v>31</v>
      </c>
      <c r="N47" s="2" t="s">
        <v>102</v>
      </c>
      <c r="P47" s="2" t="s">
        <v>28</v>
      </c>
      <c r="Q47" s="2" t="s">
        <v>52</v>
      </c>
      <c r="T47" s="2" t="s">
        <v>298</v>
      </c>
    </row>
    <row r="48" spans="1:20" x14ac:dyDescent="0.25">
      <c r="A48" s="2" t="s">
        <v>229</v>
      </c>
      <c r="B48" s="1" t="s">
        <v>317</v>
      </c>
      <c r="C48" s="2" t="s">
        <v>21</v>
      </c>
      <c r="E48" s="1" t="s">
        <v>34</v>
      </c>
      <c r="F48" s="1" t="s">
        <v>24</v>
      </c>
      <c r="I48" s="1" t="s">
        <v>284</v>
      </c>
      <c r="J48" s="2" t="s">
        <v>212</v>
      </c>
      <c r="K48" s="2" t="s">
        <v>26</v>
      </c>
      <c r="L48" s="1" t="s">
        <v>33</v>
      </c>
      <c r="M48" s="2" t="s">
        <v>31</v>
      </c>
      <c r="N48" s="2" t="s">
        <v>102</v>
      </c>
      <c r="P48" s="2" t="s">
        <v>29</v>
      </c>
      <c r="Q48" s="2" t="s">
        <v>52</v>
      </c>
      <c r="T48" s="2" t="s">
        <v>298</v>
      </c>
    </row>
    <row r="49" spans="1:20" x14ac:dyDescent="0.25">
      <c r="A49" s="2" t="s">
        <v>228</v>
      </c>
      <c r="B49" s="1" t="s">
        <v>318</v>
      </c>
      <c r="C49" s="2" t="s">
        <v>21</v>
      </c>
      <c r="E49" s="1" t="s">
        <v>34</v>
      </c>
      <c r="F49" s="1" t="s">
        <v>24</v>
      </c>
      <c r="I49" s="1" t="s">
        <v>285</v>
      </c>
      <c r="J49" s="2" t="s">
        <v>25</v>
      </c>
      <c r="K49" s="2" t="s">
        <v>26</v>
      </c>
      <c r="L49" s="1" t="s">
        <v>33</v>
      </c>
      <c r="M49" s="2" t="s">
        <v>31</v>
      </c>
      <c r="N49" s="2" t="s">
        <v>102</v>
      </c>
      <c r="P49" s="2" t="s">
        <v>30</v>
      </c>
      <c r="Q49" s="2" t="s">
        <v>52</v>
      </c>
      <c r="T49" s="2" t="s">
        <v>298</v>
      </c>
    </row>
    <row r="50" spans="1:20" x14ac:dyDescent="0.25">
      <c r="A50" s="2" t="s">
        <v>227</v>
      </c>
      <c r="B50" s="1" t="s">
        <v>319</v>
      </c>
      <c r="C50" s="2" t="s">
        <v>21</v>
      </c>
      <c r="E50" s="1" t="s">
        <v>34</v>
      </c>
      <c r="F50" s="1" t="s">
        <v>24</v>
      </c>
      <c r="I50" s="1" t="s">
        <v>282</v>
      </c>
      <c r="J50" s="2" t="s">
        <v>25</v>
      </c>
      <c r="K50" s="2" t="s">
        <v>26</v>
      </c>
      <c r="L50" s="1" t="s">
        <v>33</v>
      </c>
      <c r="M50" s="2" t="s">
        <v>32</v>
      </c>
      <c r="N50" s="2" t="s">
        <v>18</v>
      </c>
      <c r="P50" s="2" t="s">
        <v>130</v>
      </c>
      <c r="Q50" s="2" t="s">
        <v>52</v>
      </c>
      <c r="T50" s="2" t="s">
        <v>298</v>
      </c>
    </row>
    <row r="51" spans="1:20" x14ac:dyDescent="0.25">
      <c r="A51" s="2" t="s">
        <v>226</v>
      </c>
      <c r="B51" s="1" t="s">
        <v>320</v>
      </c>
      <c r="C51" s="2" t="s">
        <v>21</v>
      </c>
      <c r="E51" s="1" t="s">
        <v>34</v>
      </c>
      <c r="F51" s="1" t="s">
        <v>24</v>
      </c>
      <c r="I51" s="1" t="s">
        <v>286</v>
      </c>
      <c r="J51" s="2" t="s">
        <v>212</v>
      </c>
      <c r="K51" s="2" t="s">
        <v>26</v>
      </c>
      <c r="L51" s="1" t="s">
        <v>33</v>
      </c>
      <c r="M51" s="2" t="s">
        <v>31</v>
      </c>
      <c r="N51" s="2" t="s">
        <v>110</v>
      </c>
      <c r="P51" s="2" t="s">
        <v>135</v>
      </c>
      <c r="Q51" s="2" t="s">
        <v>52</v>
      </c>
      <c r="T51" s="2" t="s">
        <v>298</v>
      </c>
    </row>
    <row r="52" spans="1:20" x14ac:dyDescent="0.25">
      <c r="A52" s="2" t="s">
        <v>225</v>
      </c>
      <c r="B52" s="1" t="s">
        <v>321</v>
      </c>
      <c r="C52" s="2" t="s">
        <v>21</v>
      </c>
      <c r="E52" s="1" t="s">
        <v>34</v>
      </c>
      <c r="F52" s="1" t="s">
        <v>24</v>
      </c>
      <c r="I52" s="1" t="s">
        <v>287</v>
      </c>
      <c r="J52" s="2" t="s">
        <v>25</v>
      </c>
      <c r="K52" s="2" t="s">
        <v>26</v>
      </c>
      <c r="L52" s="1" t="s">
        <v>33</v>
      </c>
      <c r="M52" s="2" t="s">
        <v>31</v>
      </c>
      <c r="N52" s="2" t="s">
        <v>102</v>
      </c>
      <c r="P52" s="2" t="s">
        <v>133</v>
      </c>
      <c r="Q52" s="2" t="s">
        <v>52</v>
      </c>
      <c r="T52" s="2" t="s">
        <v>298</v>
      </c>
    </row>
    <row r="53" spans="1:20" x14ac:dyDescent="0.25">
      <c r="A53" s="2" t="s">
        <v>224</v>
      </c>
      <c r="B53" s="1" t="s">
        <v>322</v>
      </c>
      <c r="C53" s="2" t="s">
        <v>21</v>
      </c>
      <c r="E53" s="1" t="s">
        <v>34</v>
      </c>
      <c r="F53" s="1" t="s">
        <v>24</v>
      </c>
      <c r="I53" s="1" t="s">
        <v>288</v>
      </c>
      <c r="J53" s="2"/>
      <c r="K53" s="2" t="s">
        <v>26</v>
      </c>
      <c r="L53" s="1" t="s">
        <v>33</v>
      </c>
      <c r="M53" s="2" t="s">
        <v>31</v>
      </c>
      <c r="N53" s="2" t="s">
        <v>102</v>
      </c>
      <c r="P53" s="2" t="s">
        <v>28</v>
      </c>
      <c r="Q53" s="2" t="s">
        <v>50</v>
      </c>
      <c r="T53" s="2" t="s">
        <v>298</v>
      </c>
    </row>
    <row r="54" spans="1:20" x14ac:dyDescent="0.25">
      <c r="A54" s="2" t="s">
        <v>223</v>
      </c>
      <c r="B54" s="1" t="s">
        <v>323</v>
      </c>
      <c r="C54" s="2" t="s">
        <v>21</v>
      </c>
      <c r="E54" s="1" t="s">
        <v>34</v>
      </c>
      <c r="F54" s="1" t="s">
        <v>24</v>
      </c>
      <c r="I54" s="1" t="s">
        <v>289</v>
      </c>
      <c r="J54" s="2" t="s">
        <v>25</v>
      </c>
      <c r="K54" s="2" t="s">
        <v>26</v>
      </c>
      <c r="L54" s="1" t="s">
        <v>33</v>
      </c>
      <c r="M54" s="2" t="s">
        <v>31</v>
      </c>
      <c r="N54" s="2" t="s">
        <v>102</v>
      </c>
      <c r="P54" s="2" t="s">
        <v>29</v>
      </c>
      <c r="Q54" s="2" t="s">
        <v>50</v>
      </c>
      <c r="T54" s="2" t="s">
        <v>299</v>
      </c>
    </row>
    <row r="55" spans="1:20" x14ac:dyDescent="0.25">
      <c r="A55" s="2" t="s">
        <v>222</v>
      </c>
      <c r="B55" s="1" t="s">
        <v>324</v>
      </c>
      <c r="C55" s="2" t="s">
        <v>21</v>
      </c>
      <c r="E55" s="1" t="s">
        <v>34</v>
      </c>
      <c r="F55" s="1" t="s">
        <v>24</v>
      </c>
      <c r="I55" s="1" t="s">
        <v>290</v>
      </c>
      <c r="J55" s="2" t="s">
        <v>25</v>
      </c>
      <c r="K55" s="2" t="s">
        <v>26</v>
      </c>
      <c r="L55" s="1" t="s">
        <v>33</v>
      </c>
      <c r="M55" s="2" t="s">
        <v>31</v>
      </c>
      <c r="N55" s="2" t="s">
        <v>102</v>
      </c>
      <c r="P55" s="2" t="s">
        <v>30</v>
      </c>
      <c r="Q55" s="2" t="s">
        <v>50</v>
      </c>
      <c r="T55" s="2" t="s">
        <v>298</v>
      </c>
    </row>
    <row r="56" spans="1:20" x14ac:dyDescent="0.25">
      <c r="A56" s="2" t="s">
        <v>221</v>
      </c>
      <c r="B56" s="1" t="s">
        <v>325</v>
      </c>
      <c r="C56" s="2" t="s">
        <v>21</v>
      </c>
      <c r="E56" s="1" t="s">
        <v>34</v>
      </c>
      <c r="F56" s="1" t="s">
        <v>24</v>
      </c>
      <c r="I56" s="1" t="s">
        <v>291</v>
      </c>
      <c r="J56" s="2" t="s">
        <v>25</v>
      </c>
      <c r="K56" s="2" t="s">
        <v>26</v>
      </c>
      <c r="L56" s="1" t="s">
        <v>33</v>
      </c>
      <c r="M56" s="2" t="s">
        <v>31</v>
      </c>
      <c r="N56" s="2" t="s">
        <v>102</v>
      </c>
      <c r="P56" s="2" t="s">
        <v>130</v>
      </c>
      <c r="Q56" s="2" t="s">
        <v>50</v>
      </c>
      <c r="T56" s="2" t="s">
        <v>300</v>
      </c>
    </row>
    <row r="57" spans="1:20" x14ac:dyDescent="0.25">
      <c r="A57" s="2" t="s">
        <v>220</v>
      </c>
      <c r="B57" s="1" t="s">
        <v>326</v>
      </c>
      <c r="C57" s="2" t="s">
        <v>21</v>
      </c>
      <c r="E57" s="1" t="s">
        <v>34</v>
      </c>
      <c r="F57" s="1" t="s">
        <v>24</v>
      </c>
      <c r="I57" s="1" t="s">
        <v>292</v>
      </c>
      <c r="J57" s="2" t="s">
        <v>25</v>
      </c>
      <c r="K57" s="2" t="s">
        <v>26</v>
      </c>
      <c r="L57" s="1" t="s">
        <v>33</v>
      </c>
      <c r="M57" s="2" t="s">
        <v>31</v>
      </c>
      <c r="N57" s="2" t="s">
        <v>102</v>
      </c>
      <c r="P57" s="2" t="s">
        <v>135</v>
      </c>
      <c r="Q57" s="2" t="s">
        <v>50</v>
      </c>
      <c r="T57" s="2" t="s">
        <v>298</v>
      </c>
    </row>
    <row r="58" spans="1:20" x14ac:dyDescent="0.25">
      <c r="A58" s="2" t="s">
        <v>219</v>
      </c>
      <c r="B58" s="1" t="s">
        <v>327</v>
      </c>
      <c r="C58" s="2" t="s">
        <v>21</v>
      </c>
      <c r="E58" s="1" t="s">
        <v>34</v>
      </c>
      <c r="F58" s="1" t="s">
        <v>24</v>
      </c>
      <c r="I58" s="1" t="s">
        <v>280</v>
      </c>
      <c r="J58" s="2" t="s">
        <v>212</v>
      </c>
      <c r="K58" s="2" t="s">
        <v>26</v>
      </c>
      <c r="L58" s="1" t="s">
        <v>33</v>
      </c>
      <c r="M58" s="2" t="s">
        <v>31</v>
      </c>
      <c r="N58" s="2" t="s">
        <v>110</v>
      </c>
      <c r="P58" s="2" t="s">
        <v>133</v>
      </c>
      <c r="Q58" s="2" t="s">
        <v>50</v>
      </c>
      <c r="T58" s="2" t="s">
        <v>298</v>
      </c>
    </row>
    <row r="59" spans="1:20" x14ac:dyDescent="0.25">
      <c r="A59" s="2" t="s">
        <v>218</v>
      </c>
      <c r="B59" s="1" t="s">
        <v>322</v>
      </c>
      <c r="C59" s="2" t="s">
        <v>21</v>
      </c>
      <c r="E59" s="1" t="s">
        <v>34</v>
      </c>
      <c r="F59" s="1" t="s">
        <v>24</v>
      </c>
      <c r="I59" s="1" t="s">
        <v>288</v>
      </c>
      <c r="J59" s="2"/>
      <c r="K59" s="2" t="s">
        <v>26</v>
      </c>
      <c r="L59" s="1" t="s">
        <v>33</v>
      </c>
      <c r="M59" s="2" t="s">
        <v>31</v>
      </c>
      <c r="N59" s="2" t="s">
        <v>102</v>
      </c>
      <c r="P59" s="2" t="s">
        <v>28</v>
      </c>
      <c r="Q59" s="2" t="s">
        <v>44</v>
      </c>
      <c r="T59" s="2" t="s">
        <v>298</v>
      </c>
    </row>
    <row r="60" spans="1:20" x14ac:dyDescent="0.25">
      <c r="A60" s="2" t="s">
        <v>217</v>
      </c>
      <c r="B60" s="1" t="s">
        <v>323</v>
      </c>
      <c r="C60" s="2" t="s">
        <v>21</v>
      </c>
      <c r="E60" s="1" t="s">
        <v>34</v>
      </c>
      <c r="F60" s="1" t="s">
        <v>24</v>
      </c>
      <c r="I60" s="1" t="s">
        <v>289</v>
      </c>
      <c r="J60" s="2" t="s">
        <v>25</v>
      </c>
      <c r="K60" s="2" t="s">
        <v>26</v>
      </c>
      <c r="L60" s="1" t="s">
        <v>33</v>
      </c>
      <c r="M60" s="2" t="s">
        <v>31</v>
      </c>
      <c r="N60" s="2" t="s">
        <v>102</v>
      </c>
      <c r="P60" s="2" t="s">
        <v>29</v>
      </c>
      <c r="Q60" s="2" t="s">
        <v>44</v>
      </c>
      <c r="T60" s="2" t="s">
        <v>299</v>
      </c>
    </row>
    <row r="61" spans="1:20" x14ac:dyDescent="0.25">
      <c r="A61" s="2" t="s">
        <v>216</v>
      </c>
      <c r="B61" s="1" t="s">
        <v>324</v>
      </c>
      <c r="C61" s="2" t="s">
        <v>21</v>
      </c>
      <c r="E61" s="1" t="s">
        <v>34</v>
      </c>
      <c r="F61" s="1" t="s">
        <v>24</v>
      </c>
      <c r="I61" s="1" t="s">
        <v>290</v>
      </c>
      <c r="J61" s="2" t="s">
        <v>25</v>
      </c>
      <c r="K61" s="2" t="s">
        <v>26</v>
      </c>
      <c r="L61" s="1" t="s">
        <v>33</v>
      </c>
      <c r="M61" s="2" t="s">
        <v>31</v>
      </c>
      <c r="N61" s="2" t="s">
        <v>102</v>
      </c>
      <c r="P61" s="2" t="s">
        <v>30</v>
      </c>
      <c r="Q61" s="2" t="s">
        <v>44</v>
      </c>
      <c r="T61" s="2" t="s">
        <v>298</v>
      </c>
    </row>
    <row r="62" spans="1:20" x14ac:dyDescent="0.25">
      <c r="A62" s="2" t="s">
        <v>215</v>
      </c>
      <c r="B62" s="1" t="s">
        <v>325</v>
      </c>
      <c r="C62" s="2" t="s">
        <v>21</v>
      </c>
      <c r="E62" s="1" t="s">
        <v>34</v>
      </c>
      <c r="F62" s="1" t="s">
        <v>24</v>
      </c>
      <c r="I62" s="1" t="s">
        <v>291</v>
      </c>
      <c r="J62" s="2" t="s">
        <v>25</v>
      </c>
      <c r="K62" s="2" t="s">
        <v>26</v>
      </c>
      <c r="L62" s="1" t="s">
        <v>33</v>
      </c>
      <c r="M62" s="2" t="s">
        <v>31</v>
      </c>
      <c r="N62" s="2" t="s">
        <v>102</v>
      </c>
      <c r="P62" s="2" t="s">
        <v>130</v>
      </c>
      <c r="Q62" s="2" t="s">
        <v>44</v>
      </c>
      <c r="T62" s="2" t="s">
        <v>300</v>
      </c>
    </row>
    <row r="63" spans="1:20" x14ac:dyDescent="0.25">
      <c r="A63" s="2" t="s">
        <v>214</v>
      </c>
      <c r="B63" s="1" t="s">
        <v>326</v>
      </c>
      <c r="C63" s="2" t="s">
        <v>21</v>
      </c>
      <c r="E63" s="1" t="s">
        <v>34</v>
      </c>
      <c r="F63" s="1" t="s">
        <v>24</v>
      </c>
      <c r="I63" s="1" t="s">
        <v>292</v>
      </c>
      <c r="J63" s="2" t="s">
        <v>25</v>
      </c>
      <c r="K63" s="2" t="s">
        <v>26</v>
      </c>
      <c r="L63" s="1" t="s">
        <v>33</v>
      </c>
      <c r="M63" s="2" t="s">
        <v>31</v>
      </c>
      <c r="N63" s="2" t="s">
        <v>102</v>
      </c>
      <c r="P63" s="2" t="s">
        <v>135</v>
      </c>
      <c r="Q63" s="2" t="s">
        <v>44</v>
      </c>
      <c r="T63" s="2" t="s">
        <v>298</v>
      </c>
    </row>
    <row r="64" spans="1:20" x14ac:dyDescent="0.25">
      <c r="A64" s="2" t="s">
        <v>213</v>
      </c>
      <c r="B64" s="1" t="s">
        <v>327</v>
      </c>
      <c r="C64" s="2" t="s">
        <v>21</v>
      </c>
      <c r="E64" s="1" t="s">
        <v>34</v>
      </c>
      <c r="F64" s="1" t="s">
        <v>24</v>
      </c>
      <c r="I64" s="1" t="s">
        <v>280</v>
      </c>
      <c r="J64" s="2" t="s">
        <v>212</v>
      </c>
      <c r="K64" s="2" t="s">
        <v>26</v>
      </c>
      <c r="L64" s="1" t="s">
        <v>33</v>
      </c>
      <c r="M64" s="2" t="s">
        <v>31</v>
      </c>
      <c r="N64" s="2" t="s">
        <v>110</v>
      </c>
      <c r="P64" s="2" t="s">
        <v>133</v>
      </c>
      <c r="Q64" s="2" t="s">
        <v>44</v>
      </c>
      <c r="T64" s="2" t="s">
        <v>298</v>
      </c>
    </row>
    <row r="65" spans="1:20" x14ac:dyDescent="0.25">
      <c r="A65" s="2" t="s">
        <v>211</v>
      </c>
      <c r="B65" s="1" t="s">
        <v>328</v>
      </c>
      <c r="C65" s="2" t="s">
        <v>21</v>
      </c>
      <c r="E65" s="1" t="s">
        <v>34</v>
      </c>
      <c r="F65" s="1" t="s">
        <v>24</v>
      </c>
      <c r="I65" s="1" t="s">
        <v>293</v>
      </c>
      <c r="J65" s="2" t="s">
        <v>25</v>
      </c>
      <c r="K65" s="2" t="s">
        <v>27</v>
      </c>
      <c r="L65" s="1" t="s">
        <v>33</v>
      </c>
      <c r="M65" s="2" t="s">
        <v>31</v>
      </c>
      <c r="N65" s="2" t="s">
        <v>102</v>
      </c>
      <c r="P65" s="2" t="s">
        <v>28</v>
      </c>
      <c r="Q65" s="2" t="s">
        <v>42</v>
      </c>
      <c r="T65" s="2" t="s">
        <v>298</v>
      </c>
    </row>
    <row r="66" spans="1:20" x14ac:dyDescent="0.25">
      <c r="A66" s="2" t="s">
        <v>210</v>
      </c>
      <c r="B66" s="1" t="s">
        <v>329</v>
      </c>
      <c r="C66" s="2" t="s">
        <v>21</v>
      </c>
      <c r="E66" s="1" t="s">
        <v>34</v>
      </c>
      <c r="F66" s="1" t="s">
        <v>24</v>
      </c>
      <c r="I66" s="1" t="s">
        <v>283</v>
      </c>
      <c r="J66" s="2" t="s">
        <v>25</v>
      </c>
      <c r="K66" s="2" t="s">
        <v>27</v>
      </c>
      <c r="L66" s="1" t="s">
        <v>33</v>
      </c>
      <c r="M66" s="2" t="s">
        <v>31</v>
      </c>
      <c r="N66" s="2" t="s">
        <v>102</v>
      </c>
      <c r="P66" s="2" t="s">
        <v>29</v>
      </c>
      <c r="Q66" s="2" t="s">
        <v>42</v>
      </c>
      <c r="T66" s="2" t="s">
        <v>298</v>
      </c>
    </row>
    <row r="67" spans="1:20" x14ac:dyDescent="0.25">
      <c r="A67" s="2" t="s">
        <v>209</v>
      </c>
      <c r="B67" s="1" t="s">
        <v>330</v>
      </c>
      <c r="C67" s="2" t="s">
        <v>21</v>
      </c>
      <c r="E67" s="1" t="s">
        <v>34</v>
      </c>
      <c r="F67" s="1" t="s">
        <v>24</v>
      </c>
      <c r="I67" s="1" t="s">
        <v>285</v>
      </c>
      <c r="J67" s="2" t="s">
        <v>25</v>
      </c>
      <c r="K67" s="2" t="s">
        <v>26</v>
      </c>
      <c r="L67" s="1" t="s">
        <v>33</v>
      </c>
      <c r="M67" s="2" t="s">
        <v>31</v>
      </c>
      <c r="N67" s="2" t="s">
        <v>102</v>
      </c>
      <c r="P67" s="2" t="s">
        <v>30</v>
      </c>
      <c r="Q67" s="2" t="s">
        <v>42</v>
      </c>
      <c r="T67" s="2" t="s">
        <v>298</v>
      </c>
    </row>
    <row r="68" spans="1:20" x14ac:dyDescent="0.25">
      <c r="A68" s="2" t="s">
        <v>208</v>
      </c>
      <c r="B68" s="1" t="s">
        <v>331</v>
      </c>
      <c r="C68" s="2" t="s">
        <v>21</v>
      </c>
      <c r="E68" s="1" t="s">
        <v>34</v>
      </c>
      <c r="F68" s="1" t="s">
        <v>24</v>
      </c>
      <c r="I68" s="1" t="s">
        <v>290</v>
      </c>
      <c r="J68" s="2" t="s">
        <v>25</v>
      </c>
      <c r="K68" s="2" t="s">
        <v>27</v>
      </c>
      <c r="L68" s="1" t="s">
        <v>33</v>
      </c>
      <c r="M68" s="2" t="s">
        <v>31</v>
      </c>
      <c r="N68" s="2" t="s">
        <v>102</v>
      </c>
      <c r="P68" s="2" t="s">
        <v>130</v>
      </c>
      <c r="Q68" s="2" t="s">
        <v>42</v>
      </c>
      <c r="T68" s="2" t="s">
        <v>298</v>
      </c>
    </row>
    <row r="69" spans="1:20" x14ac:dyDescent="0.25">
      <c r="A69" s="2" t="s">
        <v>207</v>
      </c>
      <c r="B69" s="1" t="s">
        <v>332</v>
      </c>
      <c r="C69" s="2" t="s">
        <v>21</v>
      </c>
      <c r="E69" s="1" t="s">
        <v>34</v>
      </c>
      <c r="F69" s="1" t="s">
        <v>24</v>
      </c>
      <c r="I69" s="1" t="s">
        <v>284</v>
      </c>
      <c r="J69" s="2" t="s">
        <v>25</v>
      </c>
      <c r="K69" s="2" t="s">
        <v>27</v>
      </c>
      <c r="L69" s="1" t="s">
        <v>33</v>
      </c>
      <c r="M69" s="2" t="s">
        <v>31</v>
      </c>
      <c r="N69" s="2" t="s">
        <v>102</v>
      </c>
      <c r="P69" s="2" t="s">
        <v>135</v>
      </c>
      <c r="Q69" s="2" t="s">
        <v>42</v>
      </c>
      <c r="T69" s="2" t="s">
        <v>298</v>
      </c>
    </row>
    <row r="70" spans="1:20" x14ac:dyDescent="0.25">
      <c r="A70" s="2" t="s">
        <v>206</v>
      </c>
      <c r="B70" s="1" t="s">
        <v>333</v>
      </c>
      <c r="C70" s="2" t="s">
        <v>21</v>
      </c>
      <c r="E70" s="1" t="s">
        <v>34</v>
      </c>
      <c r="F70" s="1" t="s">
        <v>24</v>
      </c>
      <c r="I70" s="1" t="s">
        <v>294</v>
      </c>
      <c r="J70" s="2" t="s">
        <v>25</v>
      </c>
      <c r="K70" s="2" t="s">
        <v>27</v>
      </c>
      <c r="L70" s="1" t="s">
        <v>33</v>
      </c>
      <c r="M70" s="2" t="s">
        <v>31</v>
      </c>
      <c r="N70" s="2" t="s">
        <v>102</v>
      </c>
      <c r="P70" s="2" t="s">
        <v>133</v>
      </c>
      <c r="Q70" s="2" t="s">
        <v>42</v>
      </c>
      <c r="T70" s="2" t="s">
        <v>300</v>
      </c>
    </row>
    <row r="71" spans="1:20" x14ac:dyDescent="0.25">
      <c r="A71" s="2" t="s">
        <v>205</v>
      </c>
      <c r="B71" s="1" t="s">
        <v>328</v>
      </c>
      <c r="C71" s="2" t="s">
        <v>21</v>
      </c>
      <c r="E71" s="1" t="s">
        <v>34</v>
      </c>
      <c r="F71" s="1" t="s">
        <v>24</v>
      </c>
      <c r="I71" s="1" t="s">
        <v>293</v>
      </c>
      <c r="J71" s="2" t="s">
        <v>25</v>
      </c>
      <c r="K71" s="2" t="s">
        <v>27</v>
      </c>
      <c r="L71" s="1" t="s">
        <v>33</v>
      </c>
      <c r="M71" s="2" t="s">
        <v>31</v>
      </c>
      <c r="N71" s="2" t="s">
        <v>102</v>
      </c>
      <c r="P71" s="2" t="s">
        <v>28</v>
      </c>
      <c r="Q71" s="2" t="s">
        <v>36</v>
      </c>
      <c r="T71" s="2" t="s">
        <v>298</v>
      </c>
    </row>
    <row r="72" spans="1:20" x14ac:dyDescent="0.25">
      <c r="A72" s="2" t="s">
        <v>204</v>
      </c>
      <c r="B72" s="1" t="s">
        <v>329</v>
      </c>
      <c r="C72" s="2" t="s">
        <v>21</v>
      </c>
      <c r="E72" s="1" t="s">
        <v>34</v>
      </c>
      <c r="F72" s="1" t="s">
        <v>24</v>
      </c>
      <c r="I72" s="1" t="s">
        <v>283</v>
      </c>
      <c r="J72" s="2" t="s">
        <v>25</v>
      </c>
      <c r="K72" s="2" t="s">
        <v>27</v>
      </c>
      <c r="L72" s="1" t="s">
        <v>33</v>
      </c>
      <c r="M72" s="2" t="s">
        <v>31</v>
      </c>
      <c r="N72" s="2" t="s">
        <v>102</v>
      </c>
      <c r="P72" s="2" t="s">
        <v>29</v>
      </c>
      <c r="Q72" s="2" t="s">
        <v>36</v>
      </c>
      <c r="T72" s="2" t="s">
        <v>298</v>
      </c>
    </row>
    <row r="73" spans="1:20" x14ac:dyDescent="0.25">
      <c r="A73" s="2" t="s">
        <v>203</v>
      </c>
      <c r="B73" s="1" t="s">
        <v>330</v>
      </c>
      <c r="C73" s="2" t="s">
        <v>21</v>
      </c>
      <c r="E73" s="1" t="s">
        <v>34</v>
      </c>
      <c r="F73" s="1" t="s">
        <v>24</v>
      </c>
      <c r="I73" s="1" t="s">
        <v>285</v>
      </c>
      <c r="J73" s="2" t="s">
        <v>25</v>
      </c>
      <c r="K73" s="2" t="s">
        <v>26</v>
      </c>
      <c r="L73" s="1" t="s">
        <v>33</v>
      </c>
      <c r="M73" s="2" t="s">
        <v>31</v>
      </c>
      <c r="N73" s="2" t="s">
        <v>102</v>
      </c>
      <c r="P73" s="2" t="s">
        <v>30</v>
      </c>
      <c r="Q73" s="2" t="s">
        <v>36</v>
      </c>
      <c r="T73" s="2" t="s">
        <v>298</v>
      </c>
    </row>
    <row r="74" spans="1:20" x14ac:dyDescent="0.25">
      <c r="A74" s="2" t="s">
        <v>202</v>
      </c>
      <c r="B74" s="1" t="s">
        <v>331</v>
      </c>
      <c r="C74" s="2" t="s">
        <v>21</v>
      </c>
      <c r="E74" s="1" t="s">
        <v>34</v>
      </c>
      <c r="F74" s="1" t="s">
        <v>24</v>
      </c>
      <c r="I74" s="1" t="s">
        <v>290</v>
      </c>
      <c r="J74" s="2" t="s">
        <v>25</v>
      </c>
      <c r="K74" s="2" t="s">
        <v>27</v>
      </c>
      <c r="L74" s="1" t="s">
        <v>33</v>
      </c>
      <c r="M74" s="2" t="s">
        <v>31</v>
      </c>
      <c r="N74" s="2" t="s">
        <v>102</v>
      </c>
      <c r="P74" s="2" t="s">
        <v>130</v>
      </c>
      <c r="Q74" s="2" t="s">
        <v>36</v>
      </c>
      <c r="T74" s="2" t="s">
        <v>298</v>
      </c>
    </row>
    <row r="75" spans="1:20" x14ac:dyDescent="0.25">
      <c r="A75" s="2" t="s">
        <v>201</v>
      </c>
      <c r="B75" s="1" t="s">
        <v>332</v>
      </c>
      <c r="C75" s="2" t="s">
        <v>21</v>
      </c>
      <c r="E75" s="1" t="s">
        <v>34</v>
      </c>
      <c r="F75" s="1" t="s">
        <v>24</v>
      </c>
      <c r="I75" s="1" t="s">
        <v>284</v>
      </c>
      <c r="J75" s="2" t="s">
        <v>25</v>
      </c>
      <c r="K75" s="2" t="s">
        <v>27</v>
      </c>
      <c r="L75" s="1" t="s">
        <v>33</v>
      </c>
      <c r="M75" s="2" t="s">
        <v>31</v>
      </c>
      <c r="N75" s="2" t="s">
        <v>102</v>
      </c>
      <c r="P75" s="2" t="s">
        <v>135</v>
      </c>
      <c r="Q75" s="2" t="s">
        <v>36</v>
      </c>
      <c r="T75" s="2" t="s">
        <v>298</v>
      </c>
    </row>
    <row r="76" spans="1:20" x14ac:dyDescent="0.25">
      <c r="A76" s="2" t="s">
        <v>200</v>
      </c>
      <c r="B76" s="1" t="s">
        <v>333</v>
      </c>
      <c r="C76" s="2" t="s">
        <v>21</v>
      </c>
      <c r="E76" s="1" t="s">
        <v>34</v>
      </c>
      <c r="F76" s="1" t="s">
        <v>24</v>
      </c>
      <c r="I76" s="1" t="s">
        <v>294</v>
      </c>
      <c r="J76" s="2" t="s">
        <v>25</v>
      </c>
      <c r="K76" s="2" t="s">
        <v>27</v>
      </c>
      <c r="L76" s="1" t="s">
        <v>33</v>
      </c>
      <c r="M76" s="2" t="s">
        <v>31</v>
      </c>
      <c r="N76" s="2" t="s">
        <v>102</v>
      </c>
      <c r="P76" s="2" t="s">
        <v>133</v>
      </c>
      <c r="Q76" s="2" t="s">
        <v>36</v>
      </c>
      <c r="T76" s="2" t="s">
        <v>300</v>
      </c>
    </row>
    <row r="77" spans="1:20" x14ac:dyDescent="0.25">
      <c r="A77" s="2" t="s">
        <v>199</v>
      </c>
      <c r="B77" s="1" t="s">
        <v>334</v>
      </c>
      <c r="C77" s="2" t="s">
        <v>22</v>
      </c>
      <c r="E77" s="1" t="s">
        <v>23</v>
      </c>
      <c r="F77" s="1" t="s">
        <v>24</v>
      </c>
      <c r="J77" s="2"/>
      <c r="K77" s="2"/>
      <c r="M77" s="2"/>
      <c r="N77" s="2"/>
      <c r="Q77" s="2" t="s">
        <v>199</v>
      </c>
      <c r="T77" s="2"/>
    </row>
    <row r="78" spans="1:20" x14ac:dyDescent="0.25">
      <c r="A78" s="2" t="s">
        <v>198</v>
      </c>
      <c r="B78" s="1" t="s">
        <v>335</v>
      </c>
      <c r="C78" s="2" t="s">
        <v>22</v>
      </c>
      <c r="E78" s="1" t="s">
        <v>23</v>
      </c>
      <c r="F78" s="1" t="s">
        <v>24</v>
      </c>
      <c r="J78" s="2"/>
      <c r="K78" s="2"/>
      <c r="M78" s="2"/>
      <c r="N78" s="2"/>
      <c r="Q78" s="2" t="s">
        <v>198</v>
      </c>
      <c r="T78" s="2"/>
    </row>
    <row r="79" spans="1:20" x14ac:dyDescent="0.25">
      <c r="A79" s="2" t="s">
        <v>197</v>
      </c>
      <c r="B79" s="1" t="s">
        <v>336</v>
      </c>
      <c r="C79" s="2" t="s">
        <v>22</v>
      </c>
      <c r="E79" s="1" t="s">
        <v>23</v>
      </c>
      <c r="F79" s="1" t="s">
        <v>24</v>
      </c>
      <c r="J79" s="2"/>
      <c r="K79" s="2"/>
      <c r="M79" s="2"/>
      <c r="N79" s="2"/>
      <c r="Q79" s="2" t="s">
        <v>197</v>
      </c>
      <c r="T79" s="2"/>
    </row>
    <row r="80" spans="1:20" x14ac:dyDescent="0.25">
      <c r="A80" s="2" t="s">
        <v>196</v>
      </c>
      <c r="B80" s="1" t="s">
        <v>337</v>
      </c>
      <c r="C80" s="2" t="s">
        <v>22</v>
      </c>
      <c r="E80" s="1" t="s">
        <v>23</v>
      </c>
      <c r="F80" s="1" t="s">
        <v>24</v>
      </c>
      <c r="J80" s="2"/>
      <c r="K80" s="2"/>
      <c r="M80" s="2"/>
      <c r="N80" s="2"/>
      <c r="Q80" s="2" t="s">
        <v>196</v>
      </c>
      <c r="T8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CA181-10BC-4902-B501-42859F09B569}">
  <dimension ref="A1:C76"/>
  <sheetViews>
    <sheetView workbookViewId="0">
      <selection activeCell="F80" sqref="F80"/>
    </sheetView>
  </sheetViews>
  <sheetFormatPr defaultRowHeight="15" x14ac:dyDescent="0.25"/>
  <sheetData>
    <row r="1" spans="1:3" x14ac:dyDescent="0.25">
      <c r="A1" t="s">
        <v>100</v>
      </c>
      <c r="B1" t="s">
        <v>99</v>
      </c>
      <c r="C1" t="s">
        <v>2</v>
      </c>
    </row>
    <row r="2" spans="1:3" x14ac:dyDescent="0.25">
      <c r="A2" t="s">
        <v>96</v>
      </c>
      <c r="B2">
        <v>1</v>
      </c>
      <c r="C2" t="s">
        <v>98</v>
      </c>
    </row>
    <row r="3" spans="1:3" x14ac:dyDescent="0.25">
      <c r="A3" t="s">
        <v>96</v>
      </c>
      <c r="B3">
        <v>2</v>
      </c>
      <c r="C3" t="s">
        <v>97</v>
      </c>
    </row>
    <row r="4" spans="1:3" x14ac:dyDescent="0.25">
      <c r="A4" t="s">
        <v>96</v>
      </c>
      <c r="B4">
        <v>3</v>
      </c>
      <c r="C4" t="s">
        <v>95</v>
      </c>
    </row>
    <row r="5" spans="1:3" x14ac:dyDescent="0.25">
      <c r="A5" t="s">
        <v>89</v>
      </c>
      <c r="B5">
        <v>1</v>
      </c>
      <c r="C5" t="s">
        <v>94</v>
      </c>
    </row>
    <row r="6" spans="1:3" x14ac:dyDescent="0.25">
      <c r="A6" t="s">
        <v>89</v>
      </c>
      <c r="B6">
        <v>2</v>
      </c>
      <c r="C6" t="s">
        <v>93</v>
      </c>
    </row>
    <row r="7" spans="1:3" x14ac:dyDescent="0.25">
      <c r="A7" t="s">
        <v>89</v>
      </c>
      <c r="B7">
        <v>3</v>
      </c>
      <c r="C7" t="s">
        <v>92</v>
      </c>
    </row>
    <row r="8" spans="1:3" x14ac:dyDescent="0.25">
      <c r="A8" t="s">
        <v>89</v>
      </c>
      <c r="B8">
        <v>4</v>
      </c>
      <c r="C8" t="s">
        <v>91</v>
      </c>
    </row>
    <row r="9" spans="1:3" x14ac:dyDescent="0.25">
      <c r="A9" t="s">
        <v>89</v>
      </c>
      <c r="B9">
        <v>5</v>
      </c>
      <c r="C9" t="s">
        <v>90</v>
      </c>
    </row>
    <row r="10" spans="1:3" x14ac:dyDescent="0.25">
      <c r="A10" t="s">
        <v>89</v>
      </c>
      <c r="B10">
        <v>6</v>
      </c>
      <c r="C10" t="s">
        <v>88</v>
      </c>
    </row>
    <row r="11" spans="1:3" x14ac:dyDescent="0.25">
      <c r="A11" t="s">
        <v>82</v>
      </c>
      <c r="B11">
        <v>1</v>
      </c>
      <c r="C11" t="s">
        <v>87</v>
      </c>
    </row>
    <row r="12" spans="1:3" x14ac:dyDescent="0.25">
      <c r="A12" t="s">
        <v>82</v>
      </c>
      <c r="B12">
        <v>2</v>
      </c>
      <c r="C12" t="s">
        <v>86</v>
      </c>
    </row>
    <row r="13" spans="1:3" x14ac:dyDescent="0.25">
      <c r="A13" t="s">
        <v>82</v>
      </c>
      <c r="B13">
        <v>3</v>
      </c>
      <c r="C13" t="s">
        <v>85</v>
      </c>
    </row>
    <row r="14" spans="1:3" x14ac:dyDescent="0.25">
      <c r="A14" t="s">
        <v>82</v>
      </c>
      <c r="B14">
        <v>4</v>
      </c>
      <c r="C14" t="s">
        <v>84</v>
      </c>
    </row>
    <row r="15" spans="1:3" x14ac:dyDescent="0.25">
      <c r="A15" t="s">
        <v>82</v>
      </c>
      <c r="B15">
        <v>5</v>
      </c>
      <c r="C15" t="s">
        <v>83</v>
      </c>
    </row>
    <row r="16" spans="1:3" x14ac:dyDescent="0.25">
      <c r="A16" t="s">
        <v>82</v>
      </c>
      <c r="B16">
        <v>6</v>
      </c>
      <c r="C16" t="s">
        <v>81</v>
      </c>
    </row>
    <row r="17" spans="1:3" x14ac:dyDescent="0.25">
      <c r="A17" t="s">
        <v>75</v>
      </c>
      <c r="B17">
        <v>1</v>
      </c>
      <c r="C17" t="s">
        <v>80</v>
      </c>
    </row>
    <row r="18" spans="1:3" x14ac:dyDescent="0.25">
      <c r="A18" t="s">
        <v>75</v>
      </c>
      <c r="B18">
        <v>2</v>
      </c>
      <c r="C18" t="s">
        <v>79</v>
      </c>
    </row>
    <row r="19" spans="1:3" x14ac:dyDescent="0.25">
      <c r="A19" t="s">
        <v>75</v>
      </c>
      <c r="B19">
        <v>3</v>
      </c>
      <c r="C19" t="s">
        <v>78</v>
      </c>
    </row>
    <row r="20" spans="1:3" x14ac:dyDescent="0.25">
      <c r="A20" t="s">
        <v>75</v>
      </c>
      <c r="B20">
        <v>4</v>
      </c>
      <c r="C20" t="s">
        <v>77</v>
      </c>
    </row>
    <row r="21" spans="1:3" x14ac:dyDescent="0.25">
      <c r="A21" t="s">
        <v>75</v>
      </c>
      <c r="B21">
        <v>5</v>
      </c>
      <c r="C21" t="s">
        <v>76</v>
      </c>
    </row>
    <row r="22" spans="1:3" x14ac:dyDescent="0.25">
      <c r="A22" t="s">
        <v>75</v>
      </c>
      <c r="B22">
        <v>6</v>
      </c>
      <c r="C22" t="s">
        <v>74</v>
      </c>
    </row>
    <row r="23" spans="1:3" x14ac:dyDescent="0.25">
      <c r="A23" t="s">
        <v>68</v>
      </c>
      <c r="B23">
        <v>1</v>
      </c>
      <c r="C23" t="s">
        <v>73</v>
      </c>
    </row>
    <row r="24" spans="1:3" x14ac:dyDescent="0.25">
      <c r="A24" t="s">
        <v>68</v>
      </c>
      <c r="B24">
        <v>2</v>
      </c>
      <c r="C24" t="s">
        <v>72</v>
      </c>
    </row>
    <row r="25" spans="1:3" x14ac:dyDescent="0.25">
      <c r="A25" t="s">
        <v>68</v>
      </c>
      <c r="B25">
        <v>3</v>
      </c>
      <c r="C25" t="s">
        <v>71</v>
      </c>
    </row>
    <row r="26" spans="1:3" x14ac:dyDescent="0.25">
      <c r="A26" t="s">
        <v>68</v>
      </c>
      <c r="B26">
        <v>4</v>
      </c>
      <c r="C26" t="s">
        <v>70</v>
      </c>
    </row>
    <row r="27" spans="1:3" x14ac:dyDescent="0.25">
      <c r="A27" t="s">
        <v>68</v>
      </c>
      <c r="B27">
        <v>5</v>
      </c>
      <c r="C27" t="s">
        <v>69</v>
      </c>
    </row>
    <row r="28" spans="1:3" x14ac:dyDescent="0.25">
      <c r="A28" t="s">
        <v>68</v>
      </c>
      <c r="B28">
        <v>6</v>
      </c>
      <c r="C28" t="s">
        <v>67</v>
      </c>
    </row>
    <row r="29" spans="1:3" x14ac:dyDescent="0.25">
      <c r="A29" t="s">
        <v>66</v>
      </c>
      <c r="B29">
        <v>1</v>
      </c>
      <c r="C29" t="s">
        <v>65</v>
      </c>
    </row>
    <row r="30" spans="1:3" x14ac:dyDescent="0.25">
      <c r="A30" t="s">
        <v>66</v>
      </c>
      <c r="B30">
        <v>2</v>
      </c>
      <c r="C30" t="s">
        <v>64</v>
      </c>
    </row>
    <row r="31" spans="1:3" x14ac:dyDescent="0.25">
      <c r="A31" t="s">
        <v>66</v>
      </c>
      <c r="B31">
        <v>3</v>
      </c>
      <c r="C31" t="s">
        <v>63</v>
      </c>
    </row>
    <row r="32" spans="1:3" x14ac:dyDescent="0.25">
      <c r="A32" t="s">
        <v>66</v>
      </c>
      <c r="B32">
        <v>4</v>
      </c>
      <c r="C32" t="s">
        <v>62</v>
      </c>
    </row>
    <row r="33" spans="1:3" x14ac:dyDescent="0.25">
      <c r="A33" t="s">
        <v>66</v>
      </c>
      <c r="B33">
        <v>5</v>
      </c>
      <c r="C33" t="s">
        <v>61</v>
      </c>
    </row>
    <row r="34" spans="1:3" x14ac:dyDescent="0.25">
      <c r="A34" t="s">
        <v>66</v>
      </c>
      <c r="B34">
        <v>6</v>
      </c>
      <c r="C34" t="s">
        <v>59</v>
      </c>
    </row>
    <row r="35" spans="1:3" x14ac:dyDescent="0.25">
      <c r="A35" t="s">
        <v>60</v>
      </c>
      <c r="B35">
        <v>1</v>
      </c>
      <c r="C35" t="s">
        <v>65</v>
      </c>
    </row>
    <row r="36" spans="1:3" x14ac:dyDescent="0.25">
      <c r="A36" t="s">
        <v>60</v>
      </c>
      <c r="B36">
        <v>2</v>
      </c>
      <c r="C36" t="s">
        <v>64</v>
      </c>
    </row>
    <row r="37" spans="1:3" x14ac:dyDescent="0.25">
      <c r="A37" t="s">
        <v>60</v>
      </c>
      <c r="B37">
        <v>3</v>
      </c>
      <c r="C37" t="s">
        <v>63</v>
      </c>
    </row>
    <row r="38" spans="1:3" x14ac:dyDescent="0.25">
      <c r="A38" t="s">
        <v>60</v>
      </c>
      <c r="B38">
        <v>4</v>
      </c>
      <c r="C38" t="s">
        <v>62</v>
      </c>
    </row>
    <row r="39" spans="1:3" x14ac:dyDescent="0.25">
      <c r="A39" t="s">
        <v>60</v>
      </c>
      <c r="B39">
        <v>5</v>
      </c>
      <c r="C39" t="s">
        <v>61</v>
      </c>
    </row>
    <row r="40" spans="1:3" x14ac:dyDescent="0.25">
      <c r="A40" t="s">
        <v>60</v>
      </c>
      <c r="B40">
        <v>6</v>
      </c>
      <c r="C40" t="s">
        <v>59</v>
      </c>
    </row>
    <row r="41" spans="1:3" x14ac:dyDescent="0.25">
      <c r="A41" t="s">
        <v>58</v>
      </c>
      <c r="B41">
        <v>1</v>
      </c>
      <c r="C41" t="s">
        <v>57</v>
      </c>
    </row>
    <row r="42" spans="1:3" x14ac:dyDescent="0.25">
      <c r="A42" t="s">
        <v>58</v>
      </c>
      <c r="B42">
        <v>2</v>
      </c>
      <c r="C42" t="s">
        <v>56</v>
      </c>
    </row>
    <row r="43" spans="1:3" x14ac:dyDescent="0.25">
      <c r="A43" t="s">
        <v>58</v>
      </c>
      <c r="B43">
        <v>3</v>
      </c>
      <c r="C43" t="s">
        <v>55</v>
      </c>
    </row>
    <row r="44" spans="1:3" x14ac:dyDescent="0.25">
      <c r="A44" t="s">
        <v>58</v>
      </c>
      <c r="B44">
        <v>4</v>
      </c>
      <c r="C44" t="s">
        <v>54</v>
      </c>
    </row>
    <row r="45" spans="1:3" x14ac:dyDescent="0.25">
      <c r="A45" t="s">
        <v>58</v>
      </c>
      <c r="B45">
        <v>5</v>
      </c>
      <c r="C45" t="s">
        <v>53</v>
      </c>
    </row>
    <row r="46" spans="1:3" x14ac:dyDescent="0.25">
      <c r="A46" t="s">
        <v>58</v>
      </c>
      <c r="B46">
        <v>6</v>
      </c>
      <c r="C46" t="s">
        <v>51</v>
      </c>
    </row>
    <row r="47" spans="1:3" x14ac:dyDescent="0.25">
      <c r="A47" t="s">
        <v>52</v>
      </c>
      <c r="B47">
        <v>1</v>
      </c>
      <c r="C47" t="s">
        <v>57</v>
      </c>
    </row>
    <row r="48" spans="1:3" x14ac:dyDescent="0.25">
      <c r="A48" t="s">
        <v>52</v>
      </c>
      <c r="B48">
        <v>2</v>
      </c>
      <c r="C48" t="s">
        <v>56</v>
      </c>
    </row>
    <row r="49" spans="1:3" x14ac:dyDescent="0.25">
      <c r="A49" t="s">
        <v>52</v>
      </c>
      <c r="B49">
        <v>3</v>
      </c>
      <c r="C49" t="s">
        <v>55</v>
      </c>
    </row>
    <row r="50" spans="1:3" x14ac:dyDescent="0.25">
      <c r="A50" t="s">
        <v>52</v>
      </c>
      <c r="B50">
        <v>4</v>
      </c>
      <c r="C50" t="s">
        <v>54</v>
      </c>
    </row>
    <row r="51" spans="1:3" x14ac:dyDescent="0.25">
      <c r="A51" t="s">
        <v>52</v>
      </c>
      <c r="B51">
        <v>5</v>
      </c>
      <c r="C51" t="s">
        <v>53</v>
      </c>
    </row>
    <row r="52" spans="1:3" x14ac:dyDescent="0.25">
      <c r="A52" t="s">
        <v>52</v>
      </c>
      <c r="B52">
        <v>6</v>
      </c>
      <c r="C52" t="s">
        <v>51</v>
      </c>
    </row>
    <row r="53" spans="1:3" x14ac:dyDescent="0.25">
      <c r="A53" t="s">
        <v>50</v>
      </c>
      <c r="B53">
        <v>1</v>
      </c>
      <c r="C53" t="s">
        <v>49</v>
      </c>
    </row>
    <row r="54" spans="1:3" x14ac:dyDescent="0.25">
      <c r="A54" t="s">
        <v>50</v>
      </c>
      <c r="B54">
        <v>2</v>
      </c>
      <c r="C54" t="s">
        <v>48</v>
      </c>
    </row>
    <row r="55" spans="1:3" x14ac:dyDescent="0.25">
      <c r="A55" t="s">
        <v>50</v>
      </c>
      <c r="B55">
        <v>3</v>
      </c>
      <c r="C55" t="s">
        <v>47</v>
      </c>
    </row>
    <row r="56" spans="1:3" x14ac:dyDescent="0.25">
      <c r="A56" t="s">
        <v>50</v>
      </c>
      <c r="B56">
        <v>4</v>
      </c>
      <c r="C56" t="s">
        <v>46</v>
      </c>
    </row>
    <row r="57" spans="1:3" x14ac:dyDescent="0.25">
      <c r="A57" t="s">
        <v>50</v>
      </c>
      <c r="B57">
        <v>5</v>
      </c>
      <c r="C57" t="s">
        <v>45</v>
      </c>
    </row>
    <row r="58" spans="1:3" x14ac:dyDescent="0.25">
      <c r="A58" t="s">
        <v>50</v>
      </c>
      <c r="B58">
        <v>6</v>
      </c>
      <c r="C58" t="s">
        <v>43</v>
      </c>
    </row>
    <row r="59" spans="1:3" x14ac:dyDescent="0.25">
      <c r="A59" t="s">
        <v>44</v>
      </c>
      <c r="B59">
        <v>1</v>
      </c>
      <c r="C59" t="s">
        <v>49</v>
      </c>
    </row>
    <row r="60" spans="1:3" x14ac:dyDescent="0.25">
      <c r="A60" t="s">
        <v>44</v>
      </c>
      <c r="B60">
        <v>2</v>
      </c>
      <c r="C60" t="s">
        <v>48</v>
      </c>
    </row>
    <row r="61" spans="1:3" x14ac:dyDescent="0.25">
      <c r="A61" t="s">
        <v>44</v>
      </c>
      <c r="B61">
        <v>3</v>
      </c>
      <c r="C61" t="s">
        <v>47</v>
      </c>
    </row>
    <row r="62" spans="1:3" x14ac:dyDescent="0.25">
      <c r="A62" t="s">
        <v>44</v>
      </c>
      <c r="B62">
        <v>4</v>
      </c>
      <c r="C62" t="s">
        <v>46</v>
      </c>
    </row>
    <row r="63" spans="1:3" x14ac:dyDescent="0.25">
      <c r="A63" t="s">
        <v>44</v>
      </c>
      <c r="B63">
        <v>5</v>
      </c>
      <c r="C63" t="s">
        <v>45</v>
      </c>
    </row>
    <row r="64" spans="1:3" x14ac:dyDescent="0.25">
      <c r="A64" t="s">
        <v>44</v>
      </c>
      <c r="B64">
        <v>6</v>
      </c>
      <c r="C64" t="s">
        <v>43</v>
      </c>
    </row>
    <row r="65" spans="1:3" x14ac:dyDescent="0.25">
      <c r="A65" t="s">
        <v>42</v>
      </c>
      <c r="B65">
        <v>1</v>
      </c>
      <c r="C65" t="s">
        <v>41</v>
      </c>
    </row>
    <row r="66" spans="1:3" x14ac:dyDescent="0.25">
      <c r="A66" t="s">
        <v>42</v>
      </c>
      <c r="B66">
        <v>2</v>
      </c>
      <c r="C66" t="s">
        <v>40</v>
      </c>
    </row>
    <row r="67" spans="1:3" x14ac:dyDescent="0.25">
      <c r="A67" t="s">
        <v>42</v>
      </c>
      <c r="B67">
        <v>3</v>
      </c>
      <c r="C67" t="s">
        <v>39</v>
      </c>
    </row>
    <row r="68" spans="1:3" x14ac:dyDescent="0.25">
      <c r="A68" t="s">
        <v>42</v>
      </c>
      <c r="B68">
        <v>4</v>
      </c>
      <c r="C68" t="s">
        <v>38</v>
      </c>
    </row>
    <row r="69" spans="1:3" x14ac:dyDescent="0.25">
      <c r="A69" t="s">
        <v>42</v>
      </c>
      <c r="B69">
        <v>5</v>
      </c>
      <c r="C69" t="s">
        <v>37</v>
      </c>
    </row>
    <row r="70" spans="1:3" x14ac:dyDescent="0.25">
      <c r="A70" t="s">
        <v>42</v>
      </c>
      <c r="B70">
        <v>6</v>
      </c>
      <c r="C70" t="s">
        <v>35</v>
      </c>
    </row>
    <row r="71" spans="1:3" x14ac:dyDescent="0.25">
      <c r="A71" t="s">
        <v>36</v>
      </c>
      <c r="B71">
        <v>1</v>
      </c>
      <c r="C71" t="s">
        <v>41</v>
      </c>
    </row>
    <row r="72" spans="1:3" x14ac:dyDescent="0.25">
      <c r="A72" t="s">
        <v>36</v>
      </c>
      <c r="B72">
        <v>2</v>
      </c>
      <c r="C72" t="s">
        <v>40</v>
      </c>
    </row>
    <row r="73" spans="1:3" x14ac:dyDescent="0.25">
      <c r="A73" t="s">
        <v>36</v>
      </c>
      <c r="B73">
        <v>3</v>
      </c>
      <c r="C73" t="s">
        <v>39</v>
      </c>
    </row>
    <row r="74" spans="1:3" x14ac:dyDescent="0.25">
      <c r="A74" t="s">
        <v>36</v>
      </c>
      <c r="B74">
        <v>4</v>
      </c>
      <c r="C74" t="s">
        <v>38</v>
      </c>
    </row>
    <row r="75" spans="1:3" x14ac:dyDescent="0.25">
      <c r="A75" t="s">
        <v>36</v>
      </c>
      <c r="B75">
        <v>5</v>
      </c>
      <c r="C75" t="s">
        <v>37</v>
      </c>
    </row>
    <row r="76" spans="1:3" x14ac:dyDescent="0.25">
      <c r="A76" t="s">
        <v>36</v>
      </c>
      <c r="B76">
        <v>6</v>
      </c>
      <c r="C76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81802-8347-43D6-ABE7-0FC34F34587F}">
  <dimension ref="A1:I26"/>
  <sheetViews>
    <sheetView workbookViewId="0">
      <selection activeCell="H32" sqref="H32"/>
    </sheetView>
  </sheetViews>
  <sheetFormatPr defaultRowHeight="15" x14ac:dyDescent="0.25"/>
  <cols>
    <col min="1" max="1" width="7" style="2" bestFit="1" customWidth="1"/>
    <col min="2" max="2" width="6.28515625" style="2" bestFit="1" customWidth="1"/>
    <col min="3" max="3" width="8.28515625" style="2" bestFit="1" customWidth="1"/>
    <col min="4" max="4" width="11" style="2" bestFit="1" customWidth="1"/>
    <col min="5" max="5" width="8.140625" style="2" bestFit="1" customWidth="1"/>
    <col min="6" max="6" width="5.85546875" style="2" bestFit="1" customWidth="1"/>
    <col min="7" max="7" width="5.5703125" style="2" bestFit="1" customWidth="1"/>
    <col min="8" max="8" width="15.7109375" style="2" bestFit="1" customWidth="1"/>
    <col min="9" max="9" width="12.7109375" style="2" bestFit="1" customWidth="1"/>
    <col min="10" max="16384" width="9.140625" style="2"/>
  </cols>
  <sheetData>
    <row r="1" spans="1:9" x14ac:dyDescent="0.25">
      <c r="A1" s="2" t="s">
        <v>116</v>
      </c>
      <c r="B1" s="2" t="s">
        <v>8</v>
      </c>
      <c r="C1" s="2" t="s">
        <v>31</v>
      </c>
      <c r="D1" s="2" t="s">
        <v>115</v>
      </c>
      <c r="E1" s="2" t="s">
        <v>114</v>
      </c>
      <c r="F1" s="2" t="s">
        <v>10</v>
      </c>
      <c r="G1" s="2" t="s">
        <v>111</v>
      </c>
      <c r="H1" s="2" t="s">
        <v>113</v>
      </c>
      <c r="I1" s="2" t="s">
        <v>112</v>
      </c>
    </row>
    <row r="2" spans="1:9" x14ac:dyDescent="0.25">
      <c r="A2" s="2">
        <v>8</v>
      </c>
      <c r="B2" s="2" t="s">
        <v>105</v>
      </c>
      <c r="C2" s="2" t="s">
        <v>104</v>
      </c>
      <c r="D2" s="2" t="s">
        <v>106</v>
      </c>
      <c r="E2" s="2" t="s">
        <v>106</v>
      </c>
      <c r="F2" s="2" t="s">
        <v>102</v>
      </c>
      <c r="G2" s="2">
        <v>1</v>
      </c>
      <c r="H2" s="2">
        <v>150</v>
      </c>
      <c r="I2" s="2" t="s">
        <v>111</v>
      </c>
    </row>
    <row r="3" spans="1:9" x14ac:dyDescent="0.25">
      <c r="A3" s="2">
        <v>36</v>
      </c>
      <c r="B3" s="2" t="s">
        <v>105</v>
      </c>
      <c r="C3" s="2" t="s">
        <v>104</v>
      </c>
      <c r="D3" s="2" t="s">
        <v>106</v>
      </c>
      <c r="E3" s="2" t="s">
        <v>104</v>
      </c>
      <c r="F3" s="2" t="s">
        <v>110</v>
      </c>
      <c r="G3" s="2">
        <v>0</v>
      </c>
    </row>
    <row r="4" spans="1:9" x14ac:dyDescent="0.25">
      <c r="A4" s="2">
        <v>54</v>
      </c>
      <c r="B4" s="2" t="s">
        <v>105</v>
      </c>
      <c r="C4" s="2" t="s">
        <v>104</v>
      </c>
      <c r="E4" s="2" t="s">
        <v>104</v>
      </c>
      <c r="F4" s="2" t="s">
        <v>102</v>
      </c>
      <c r="G4" s="2">
        <v>0</v>
      </c>
    </row>
    <row r="5" spans="1:9" x14ac:dyDescent="0.25">
      <c r="A5" s="2">
        <v>59</v>
      </c>
      <c r="B5" s="2" t="s">
        <v>105</v>
      </c>
      <c r="C5" s="2" t="s">
        <v>104</v>
      </c>
      <c r="D5" s="2" t="s">
        <v>106</v>
      </c>
      <c r="E5" s="2" t="s">
        <v>104</v>
      </c>
      <c r="F5" s="2" t="s">
        <v>102</v>
      </c>
      <c r="G5" s="2">
        <v>1</v>
      </c>
      <c r="H5" s="2">
        <v>178</v>
      </c>
      <c r="I5" s="2" t="s">
        <v>111</v>
      </c>
    </row>
    <row r="6" spans="1:9" x14ac:dyDescent="0.25">
      <c r="A6" s="2">
        <v>72</v>
      </c>
      <c r="B6" s="2" t="s">
        <v>105</v>
      </c>
      <c r="C6" s="2" t="s">
        <v>104</v>
      </c>
      <c r="D6" s="2" t="s">
        <v>106</v>
      </c>
      <c r="E6" s="2" t="s">
        <v>104</v>
      </c>
      <c r="F6" s="2" t="s">
        <v>102</v>
      </c>
      <c r="G6" s="2">
        <v>0</v>
      </c>
      <c r="H6" s="2">
        <v>270</v>
      </c>
    </row>
    <row r="7" spans="1:9" x14ac:dyDescent="0.25">
      <c r="A7" s="2">
        <v>371</v>
      </c>
      <c r="B7" s="2" t="s">
        <v>105</v>
      </c>
      <c r="C7" s="2" t="s">
        <v>104</v>
      </c>
      <c r="D7" s="2" t="s">
        <v>106</v>
      </c>
      <c r="E7" s="2" t="s">
        <v>104</v>
      </c>
      <c r="F7" s="2" t="s">
        <v>110</v>
      </c>
      <c r="G7" s="2">
        <v>0</v>
      </c>
      <c r="H7" s="2">
        <v>158</v>
      </c>
    </row>
    <row r="8" spans="1:9" x14ac:dyDescent="0.25">
      <c r="A8" s="2">
        <v>419</v>
      </c>
      <c r="B8" s="2" t="s">
        <v>105</v>
      </c>
      <c r="C8" s="2" t="s">
        <v>104</v>
      </c>
      <c r="D8" s="2" t="s">
        <v>106</v>
      </c>
      <c r="E8" s="2" t="s">
        <v>104</v>
      </c>
      <c r="F8" s="2" t="s">
        <v>102</v>
      </c>
      <c r="G8" s="2">
        <v>0</v>
      </c>
      <c r="H8" s="2">
        <v>54</v>
      </c>
    </row>
    <row r="9" spans="1:9" x14ac:dyDescent="0.25">
      <c r="A9" s="2">
        <v>446</v>
      </c>
      <c r="B9" s="2" t="s">
        <v>105</v>
      </c>
      <c r="C9" s="2" t="s">
        <v>104</v>
      </c>
      <c r="D9" s="2" t="s">
        <v>106</v>
      </c>
      <c r="E9" s="2" t="s">
        <v>104</v>
      </c>
      <c r="F9" s="2" t="s">
        <v>102</v>
      </c>
      <c r="G9" s="2">
        <v>0</v>
      </c>
      <c r="H9" s="2">
        <v>61</v>
      </c>
    </row>
    <row r="10" spans="1:9" x14ac:dyDescent="0.25">
      <c r="A10" s="2">
        <v>485</v>
      </c>
      <c r="B10" s="2" t="s">
        <v>105</v>
      </c>
      <c r="C10" s="2" t="s">
        <v>104</v>
      </c>
      <c r="D10" s="2" t="s">
        <v>106</v>
      </c>
      <c r="E10" s="2" t="s">
        <v>104</v>
      </c>
      <c r="F10" s="2" t="s">
        <v>102</v>
      </c>
      <c r="G10" s="2">
        <v>0</v>
      </c>
      <c r="H10" s="2">
        <v>112</v>
      </c>
    </row>
    <row r="11" spans="1:9" x14ac:dyDescent="0.25">
      <c r="A11" s="2">
        <v>489</v>
      </c>
      <c r="B11" s="2" t="s">
        <v>105</v>
      </c>
      <c r="C11" s="2" t="s">
        <v>104</v>
      </c>
      <c r="D11" s="2" t="s">
        <v>106</v>
      </c>
      <c r="E11" s="2" t="s">
        <v>104</v>
      </c>
      <c r="F11" s="2" t="s">
        <v>102</v>
      </c>
      <c r="G11" s="2">
        <v>0</v>
      </c>
      <c r="H11" s="2">
        <v>1236</v>
      </c>
    </row>
    <row r="12" spans="1:9" x14ac:dyDescent="0.25">
      <c r="A12" s="2">
        <v>518</v>
      </c>
      <c r="B12" s="2" t="s">
        <v>105</v>
      </c>
      <c r="C12" s="2" t="s">
        <v>104</v>
      </c>
      <c r="D12" s="2" t="s">
        <v>106</v>
      </c>
      <c r="E12" s="2" t="s">
        <v>104</v>
      </c>
      <c r="F12" s="2" t="s">
        <v>102</v>
      </c>
      <c r="G12" s="2">
        <v>0</v>
      </c>
      <c r="H12" s="2">
        <v>294</v>
      </c>
    </row>
    <row r="13" spans="1:9" x14ac:dyDescent="0.25">
      <c r="A13" s="2">
        <v>590</v>
      </c>
      <c r="B13" s="2" t="s">
        <v>105</v>
      </c>
      <c r="C13" s="2" t="s">
        <v>104</v>
      </c>
      <c r="D13" s="2" t="s">
        <v>106</v>
      </c>
      <c r="E13" s="2" t="s">
        <v>104</v>
      </c>
      <c r="F13" s="2" t="s">
        <v>102</v>
      </c>
      <c r="G13" s="2">
        <v>0</v>
      </c>
      <c r="H13" s="2">
        <v>41</v>
      </c>
    </row>
    <row r="14" spans="1:9" x14ac:dyDescent="0.25">
      <c r="A14" s="2">
        <v>593</v>
      </c>
      <c r="B14" s="2" t="s">
        <v>105</v>
      </c>
      <c r="C14" s="2" t="s">
        <v>104</v>
      </c>
      <c r="D14" s="2" t="s">
        <v>106</v>
      </c>
      <c r="E14" s="2" t="s">
        <v>104</v>
      </c>
      <c r="F14" s="2" t="s">
        <v>102</v>
      </c>
      <c r="G14" s="2">
        <v>1</v>
      </c>
      <c r="H14" s="2">
        <v>76</v>
      </c>
      <c r="I14" s="2" t="s">
        <v>109</v>
      </c>
    </row>
    <row r="15" spans="1:9" x14ac:dyDescent="0.25">
      <c r="A15" s="2">
        <v>674</v>
      </c>
      <c r="B15" s="2" t="s">
        <v>105</v>
      </c>
      <c r="C15" s="2" t="s">
        <v>104</v>
      </c>
      <c r="D15" s="2" t="s">
        <v>104</v>
      </c>
      <c r="E15" s="2" t="s">
        <v>106</v>
      </c>
      <c r="F15" s="2" t="s">
        <v>102</v>
      </c>
      <c r="G15" s="2">
        <v>0</v>
      </c>
      <c r="H15" s="2">
        <v>322</v>
      </c>
      <c r="I15" s="2" t="s">
        <v>107</v>
      </c>
    </row>
    <row r="16" spans="1:9" x14ac:dyDescent="0.25">
      <c r="A16" s="2">
        <v>702</v>
      </c>
      <c r="B16" s="2" t="s">
        <v>105</v>
      </c>
      <c r="C16" s="2" t="s">
        <v>104</v>
      </c>
      <c r="D16" s="2" t="s">
        <v>106</v>
      </c>
      <c r="E16" s="2" t="s">
        <v>104</v>
      </c>
      <c r="F16" s="2" t="s">
        <v>108</v>
      </c>
      <c r="G16" s="2">
        <v>0</v>
      </c>
      <c r="H16" s="2">
        <v>40</v>
      </c>
    </row>
    <row r="17" spans="1:9" x14ac:dyDescent="0.25">
      <c r="A17" s="2">
        <v>739</v>
      </c>
      <c r="B17" s="2" t="s">
        <v>105</v>
      </c>
      <c r="C17" s="2" t="s">
        <v>104</v>
      </c>
      <c r="D17" s="2" t="s">
        <v>106</v>
      </c>
      <c r="E17" s="2" t="s">
        <v>104</v>
      </c>
      <c r="F17" s="2" t="s">
        <v>102</v>
      </c>
      <c r="G17" s="2">
        <v>0</v>
      </c>
      <c r="H17" s="2">
        <v>521</v>
      </c>
    </row>
    <row r="18" spans="1:9" x14ac:dyDescent="0.25">
      <c r="A18" s="2">
        <v>752</v>
      </c>
      <c r="B18" s="2" t="s">
        <v>105</v>
      </c>
      <c r="C18" s="2" t="s">
        <v>104</v>
      </c>
      <c r="D18" s="2" t="s">
        <v>106</v>
      </c>
      <c r="E18" s="2" t="s">
        <v>104</v>
      </c>
      <c r="F18" s="2" t="s">
        <v>102</v>
      </c>
      <c r="G18" s="2">
        <v>0</v>
      </c>
      <c r="H18" s="2">
        <v>9</v>
      </c>
    </row>
    <row r="19" spans="1:9" x14ac:dyDescent="0.25">
      <c r="A19" s="2">
        <v>763</v>
      </c>
      <c r="B19" s="2" t="s">
        <v>105</v>
      </c>
      <c r="C19" s="2" t="s">
        <v>104</v>
      </c>
      <c r="D19" s="2" t="s">
        <v>104</v>
      </c>
      <c r="E19" s="2" t="s">
        <v>104</v>
      </c>
      <c r="F19" s="2" t="s">
        <v>102</v>
      </c>
      <c r="G19" s="2">
        <v>0</v>
      </c>
      <c r="H19" s="2">
        <v>538</v>
      </c>
      <c r="I19" s="2" t="s">
        <v>107</v>
      </c>
    </row>
    <row r="20" spans="1:9" x14ac:dyDescent="0.25">
      <c r="A20" s="2">
        <v>824</v>
      </c>
      <c r="B20" s="2" t="s">
        <v>105</v>
      </c>
      <c r="C20" s="2" t="s">
        <v>106</v>
      </c>
      <c r="D20" s="2" t="s">
        <v>106</v>
      </c>
      <c r="E20" s="2" t="s">
        <v>104</v>
      </c>
      <c r="F20" s="2" t="s">
        <v>18</v>
      </c>
      <c r="G20" s="2">
        <v>0</v>
      </c>
    </row>
    <row r="21" spans="1:9" x14ac:dyDescent="0.25">
      <c r="A21" s="2">
        <v>896</v>
      </c>
      <c r="B21" s="2" t="s">
        <v>105</v>
      </c>
      <c r="C21" s="2" t="s">
        <v>104</v>
      </c>
      <c r="D21" s="2" t="s">
        <v>104</v>
      </c>
      <c r="E21" s="2" t="s">
        <v>104</v>
      </c>
      <c r="F21" s="2" t="s">
        <v>102</v>
      </c>
      <c r="G21" s="2">
        <v>0</v>
      </c>
      <c r="H21" s="2">
        <v>510</v>
      </c>
    </row>
    <row r="22" spans="1:9" x14ac:dyDescent="0.25">
      <c r="A22" s="2">
        <v>912</v>
      </c>
      <c r="B22" s="2" t="s">
        <v>105</v>
      </c>
      <c r="C22" s="2" t="s">
        <v>104</v>
      </c>
      <c r="D22" s="2" t="s">
        <v>106</v>
      </c>
      <c r="E22" s="2" t="s">
        <v>106</v>
      </c>
      <c r="F22" s="2" t="s">
        <v>102</v>
      </c>
      <c r="G22" s="2">
        <v>0</v>
      </c>
      <c r="H22" s="2">
        <v>47</v>
      </c>
    </row>
    <row r="23" spans="1:9" x14ac:dyDescent="0.25">
      <c r="A23" s="2">
        <v>913</v>
      </c>
      <c r="B23" s="2" t="s">
        <v>105</v>
      </c>
      <c r="C23" s="2" t="s">
        <v>104</v>
      </c>
      <c r="D23" s="2" t="s">
        <v>106</v>
      </c>
      <c r="E23" s="2" t="s">
        <v>104</v>
      </c>
      <c r="F23" s="2" t="s">
        <v>102</v>
      </c>
      <c r="G23" s="2">
        <v>0</v>
      </c>
    </row>
    <row r="24" spans="1:9" x14ac:dyDescent="0.25">
      <c r="A24" s="2">
        <v>1126</v>
      </c>
      <c r="B24" s="2" t="s">
        <v>105</v>
      </c>
      <c r="C24" s="2" t="s">
        <v>104</v>
      </c>
      <c r="D24" s="2" t="s">
        <v>106</v>
      </c>
      <c r="E24" s="2" t="s">
        <v>106</v>
      </c>
      <c r="F24" s="2" t="s">
        <v>102</v>
      </c>
      <c r="G24" s="2">
        <v>0</v>
      </c>
      <c r="H24" s="2">
        <v>852</v>
      </c>
    </row>
    <row r="25" spans="1:9" x14ac:dyDescent="0.25">
      <c r="A25" s="2">
        <v>1204</v>
      </c>
      <c r="B25" s="2" t="s">
        <v>105</v>
      </c>
      <c r="C25" s="2" t="s">
        <v>104</v>
      </c>
      <c r="D25" s="2" t="s">
        <v>106</v>
      </c>
      <c r="E25" s="2" t="s">
        <v>104</v>
      </c>
      <c r="F25" s="2" t="s">
        <v>102</v>
      </c>
      <c r="G25" s="2">
        <v>0</v>
      </c>
      <c r="H25" s="2">
        <v>729</v>
      </c>
    </row>
    <row r="26" spans="1:9" x14ac:dyDescent="0.25">
      <c r="A26" s="2">
        <v>1246</v>
      </c>
      <c r="B26" s="2" t="s">
        <v>105</v>
      </c>
      <c r="C26" s="2" t="s">
        <v>104</v>
      </c>
      <c r="D26" s="2" t="s">
        <v>104</v>
      </c>
      <c r="E26" s="2" t="s">
        <v>103</v>
      </c>
      <c r="F26" s="2" t="s">
        <v>102</v>
      </c>
      <c r="G26" s="2">
        <v>1</v>
      </c>
      <c r="I26" s="2" t="s">
        <v>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D69D8-E411-484B-B068-FBD35170BA73}">
  <dimension ref="A1:O80"/>
  <sheetViews>
    <sheetView topLeftCell="A31" workbookViewId="0">
      <selection activeCell="D1" sqref="D1:G1048576"/>
    </sheetView>
  </sheetViews>
  <sheetFormatPr defaultRowHeight="15" x14ac:dyDescent="0.25"/>
  <cols>
    <col min="1" max="1" width="8.5703125" style="2" bestFit="1" customWidth="1"/>
    <col min="2" max="2" width="8.42578125" style="2" bestFit="1" customWidth="1"/>
    <col min="3" max="3" width="12.28515625" style="2" bestFit="1" customWidth="1"/>
    <col min="4" max="4" width="8.5703125" style="2" bestFit="1" customWidth="1"/>
    <col min="5" max="5" width="9.7109375" style="2" bestFit="1" customWidth="1"/>
    <col min="6" max="6" width="4.42578125" style="1" bestFit="1" customWidth="1"/>
    <col min="7" max="7" width="5.140625" style="1" bestFit="1" customWidth="1"/>
    <col min="8" max="8" width="21.5703125" style="1" bestFit="1" customWidth="1"/>
    <col min="9" max="9" width="7.5703125" style="3" bestFit="1" customWidth="1"/>
    <col min="10" max="10" width="6.28515625" style="1" bestFit="1" customWidth="1"/>
    <col min="11" max="11" width="8.7109375" style="1" bestFit="1" customWidth="1"/>
    <col min="12" max="12" width="5.85546875" style="1" bestFit="1" customWidth="1"/>
    <col min="13" max="13" width="5.7109375" style="1" bestFit="1" customWidth="1"/>
    <col min="14" max="14" width="15.5703125" style="1" bestFit="1" customWidth="1"/>
    <col min="15" max="15" width="24.42578125" style="1" bestFit="1" customWidth="1"/>
    <col min="16" max="16384" width="9.140625" style="1"/>
  </cols>
  <sheetData>
    <row r="1" spans="1:15" x14ac:dyDescent="0.25">
      <c r="A1" s="2" t="s">
        <v>100</v>
      </c>
      <c r="B1" s="2" t="s">
        <v>99</v>
      </c>
      <c r="C1" s="2" t="s">
        <v>0</v>
      </c>
      <c r="D1" s="2" t="s">
        <v>2</v>
      </c>
      <c r="E1" s="2" t="s">
        <v>3</v>
      </c>
      <c r="F1" s="1" t="s">
        <v>5</v>
      </c>
      <c r="G1" s="1" t="s">
        <v>6</v>
      </c>
      <c r="H1" s="3" t="s">
        <v>195</v>
      </c>
      <c r="I1" s="3" t="s">
        <v>7</v>
      </c>
      <c r="J1" s="1" t="s">
        <v>8</v>
      </c>
      <c r="K1" s="1" t="s">
        <v>9</v>
      </c>
      <c r="L1" s="1" t="s">
        <v>10</v>
      </c>
      <c r="M1" s="1" t="s">
        <v>194</v>
      </c>
      <c r="N1" s="1" t="s">
        <v>193</v>
      </c>
      <c r="O1" s="1" t="s">
        <v>192</v>
      </c>
    </row>
    <row r="2" spans="1:15" x14ac:dyDescent="0.25">
      <c r="A2" s="2" t="s">
        <v>58</v>
      </c>
      <c r="B2" s="2" t="s">
        <v>133</v>
      </c>
      <c r="C2" s="2" t="str">
        <f>CONCATENATE(A2,"_HTO-",B2)</f>
        <v>B6A_HTO-F</v>
      </c>
      <c r="D2" s="2">
        <v>72</v>
      </c>
      <c r="E2" s="2" t="s">
        <v>21</v>
      </c>
      <c r="F2" s="1">
        <v>68</v>
      </c>
      <c r="G2" s="1" t="s">
        <v>145</v>
      </c>
      <c r="H2" s="1" t="s">
        <v>27</v>
      </c>
      <c r="I2" s="3" t="s">
        <v>26</v>
      </c>
      <c r="J2" s="1" t="s">
        <v>105</v>
      </c>
      <c r="K2" s="1" t="s">
        <v>104</v>
      </c>
      <c r="L2" s="1" t="s">
        <v>102</v>
      </c>
      <c r="M2" s="1" t="s">
        <v>191</v>
      </c>
      <c r="N2" s="1" t="s">
        <v>190</v>
      </c>
      <c r="O2" s="1" t="str">
        <f>CONCATENATE(N2, "_", A2)</f>
        <v>Bladder72_B6A</v>
      </c>
    </row>
    <row r="3" spans="1:15" x14ac:dyDescent="0.25">
      <c r="A3" s="2" t="s">
        <v>52</v>
      </c>
      <c r="B3" s="2" t="s">
        <v>133</v>
      </c>
      <c r="C3" s="2" t="str">
        <f>CONCATENATE(A3,"_HTO-",B3)</f>
        <v>B6B_HTO-F</v>
      </c>
      <c r="D3" s="2">
        <v>72</v>
      </c>
      <c r="E3" s="2" t="s">
        <v>21</v>
      </c>
      <c r="F3" s="1">
        <v>68</v>
      </c>
      <c r="G3" s="1" t="s">
        <v>145</v>
      </c>
      <c r="H3" s="1" t="s">
        <v>27</v>
      </c>
      <c r="I3" s="3" t="s">
        <v>26</v>
      </c>
      <c r="J3" s="1" t="s">
        <v>105</v>
      </c>
      <c r="K3" s="1" t="s">
        <v>104</v>
      </c>
      <c r="L3" s="1" t="s">
        <v>102</v>
      </c>
      <c r="M3" s="1" t="s">
        <v>191</v>
      </c>
      <c r="N3" s="1" t="s">
        <v>190</v>
      </c>
      <c r="O3" s="1" t="str">
        <f>CONCATENATE(N3, "_", A3)</f>
        <v>Bladder72_B6B</v>
      </c>
    </row>
    <row r="4" spans="1:15" x14ac:dyDescent="0.25">
      <c r="A4" s="2" t="s">
        <v>50</v>
      </c>
      <c r="B4" s="2" t="s">
        <v>133</v>
      </c>
      <c r="C4" s="2" t="str">
        <f>CONCATENATE(A4,"_HTO-",B4)</f>
        <v>B7A_HTO-F</v>
      </c>
      <c r="D4" s="2">
        <v>371</v>
      </c>
      <c r="E4" s="2" t="s">
        <v>21</v>
      </c>
      <c r="F4" s="1">
        <v>63</v>
      </c>
      <c r="G4" s="1" t="s">
        <v>29</v>
      </c>
      <c r="H4" s="1" t="s">
        <v>27</v>
      </c>
      <c r="I4" s="3" t="s">
        <v>26</v>
      </c>
      <c r="J4" s="1" t="s">
        <v>105</v>
      </c>
      <c r="K4" s="1" t="s">
        <v>104</v>
      </c>
      <c r="L4" s="1" t="s">
        <v>110</v>
      </c>
      <c r="M4" s="1" t="s">
        <v>189</v>
      </c>
      <c r="N4" s="1" t="s">
        <v>188</v>
      </c>
      <c r="O4" s="1" t="str">
        <f>CONCATENATE(N4, "_", A4)</f>
        <v>Bladder371_B7A</v>
      </c>
    </row>
    <row r="5" spans="1:15" x14ac:dyDescent="0.25">
      <c r="A5" s="2" t="s">
        <v>44</v>
      </c>
      <c r="B5" s="2" t="s">
        <v>133</v>
      </c>
      <c r="C5" s="2" t="str">
        <f>CONCATENATE(A5,"_HTO-",B5)</f>
        <v>B7B_HTO-F</v>
      </c>
      <c r="D5" s="2">
        <v>371</v>
      </c>
      <c r="E5" s="2" t="s">
        <v>21</v>
      </c>
      <c r="F5" s="1">
        <v>63</v>
      </c>
      <c r="G5" s="1" t="s">
        <v>29</v>
      </c>
      <c r="H5" s="1" t="s">
        <v>27</v>
      </c>
      <c r="I5" s="3" t="s">
        <v>26</v>
      </c>
      <c r="J5" s="1" t="s">
        <v>105</v>
      </c>
      <c r="K5" s="1" t="s">
        <v>104</v>
      </c>
      <c r="L5" s="1" t="s">
        <v>110</v>
      </c>
      <c r="M5" s="1" t="s">
        <v>189</v>
      </c>
      <c r="N5" s="1" t="s">
        <v>188</v>
      </c>
      <c r="O5" s="1" t="str">
        <f>CONCATENATE(N5, "_", A5)</f>
        <v>Bladder371_B7B</v>
      </c>
    </row>
    <row r="6" spans="1:15" x14ac:dyDescent="0.25">
      <c r="A6" s="2" t="s">
        <v>42</v>
      </c>
      <c r="B6" s="2" t="s">
        <v>29</v>
      </c>
      <c r="C6" s="2" t="str">
        <f>CONCATENATE(A6,"_HTO-",B6)</f>
        <v>B8A_HTO-B</v>
      </c>
      <c r="D6" s="2">
        <v>419</v>
      </c>
      <c r="E6" s="2" t="s">
        <v>21</v>
      </c>
      <c r="F6" s="1">
        <v>55</v>
      </c>
      <c r="G6" s="1" t="s">
        <v>145</v>
      </c>
      <c r="H6" s="1" t="s">
        <v>27</v>
      </c>
      <c r="I6" s="3" t="s">
        <v>27</v>
      </c>
      <c r="J6" s="1" t="s">
        <v>105</v>
      </c>
      <c r="K6" s="1" t="s">
        <v>104</v>
      </c>
      <c r="L6" s="1" t="s">
        <v>102</v>
      </c>
      <c r="M6" s="1" t="s">
        <v>187</v>
      </c>
      <c r="N6" s="1" t="s">
        <v>186</v>
      </c>
      <c r="O6" s="1" t="str">
        <f>CONCATENATE(N6, "_", A6)</f>
        <v>Bladder419_B8A</v>
      </c>
    </row>
    <row r="7" spans="1:15" x14ac:dyDescent="0.25">
      <c r="A7" s="2" t="s">
        <v>36</v>
      </c>
      <c r="B7" s="2" t="s">
        <v>29</v>
      </c>
      <c r="C7" s="2" t="str">
        <f>CONCATENATE(A7,"_HTO-",B7)</f>
        <v>B8B_HTO-B</v>
      </c>
      <c r="D7" s="2">
        <v>419</v>
      </c>
      <c r="E7" s="2" t="s">
        <v>21</v>
      </c>
      <c r="F7" s="1">
        <v>55</v>
      </c>
      <c r="G7" s="1" t="s">
        <v>145</v>
      </c>
      <c r="H7" s="1" t="s">
        <v>27</v>
      </c>
      <c r="I7" s="3" t="s">
        <v>27</v>
      </c>
      <c r="J7" s="1" t="s">
        <v>105</v>
      </c>
      <c r="K7" s="1" t="s">
        <v>104</v>
      </c>
      <c r="L7" s="1" t="s">
        <v>102</v>
      </c>
      <c r="M7" s="1" t="s">
        <v>187</v>
      </c>
      <c r="N7" s="1" t="s">
        <v>186</v>
      </c>
      <c r="O7" s="1" t="str">
        <f>CONCATENATE(N7, "_", A7)</f>
        <v>Bladder419_B8B</v>
      </c>
    </row>
    <row r="8" spans="1:15" x14ac:dyDescent="0.25">
      <c r="A8" s="2" t="s">
        <v>68</v>
      </c>
      <c r="B8" s="2" t="s">
        <v>28</v>
      </c>
      <c r="C8" s="2" t="str">
        <f>CONCATENATE(A8,"_HTO-",B8)</f>
        <v>B4_HTO-A</v>
      </c>
      <c r="D8" s="2">
        <v>896</v>
      </c>
      <c r="E8" s="2" t="s">
        <v>21</v>
      </c>
      <c r="F8" s="1">
        <v>45</v>
      </c>
      <c r="G8" s="1" t="s">
        <v>29</v>
      </c>
      <c r="H8" s="1" t="s">
        <v>27</v>
      </c>
      <c r="I8" s="3" t="s">
        <v>27</v>
      </c>
      <c r="J8" s="1" t="s">
        <v>105</v>
      </c>
      <c r="K8" s="1" t="s">
        <v>104</v>
      </c>
      <c r="L8" s="1" t="s">
        <v>102</v>
      </c>
      <c r="M8" s="1" t="s">
        <v>185</v>
      </c>
      <c r="N8" s="1" t="s">
        <v>184</v>
      </c>
      <c r="O8" s="1" t="str">
        <f>CONCATENATE(N8, "_", A8)</f>
        <v>Bladder896_B4</v>
      </c>
    </row>
    <row r="9" spans="1:15" x14ac:dyDescent="0.25">
      <c r="A9" s="2" t="s">
        <v>68</v>
      </c>
      <c r="B9" s="2" t="s">
        <v>29</v>
      </c>
      <c r="C9" s="2" t="str">
        <f>CONCATENATE(A9,"_HTO-",B9)</f>
        <v>B4_HTO-B</v>
      </c>
      <c r="D9" s="2">
        <v>896</v>
      </c>
      <c r="E9" s="2" t="s">
        <v>21</v>
      </c>
      <c r="F9" s="1">
        <v>45</v>
      </c>
      <c r="G9" s="1" t="s">
        <v>29</v>
      </c>
      <c r="H9" s="1" t="s">
        <v>27</v>
      </c>
      <c r="I9" s="3" t="s">
        <v>27</v>
      </c>
      <c r="J9" s="1" t="s">
        <v>105</v>
      </c>
      <c r="K9" s="1" t="s">
        <v>104</v>
      </c>
      <c r="L9" s="1" t="s">
        <v>102</v>
      </c>
      <c r="M9" s="1" t="s">
        <v>185</v>
      </c>
      <c r="N9" s="1" t="s">
        <v>184</v>
      </c>
      <c r="O9" s="1" t="str">
        <f>CONCATENATE(N9, "_", A9)</f>
        <v>Bladder896_B4</v>
      </c>
    </row>
    <row r="10" spans="1:15" x14ac:dyDescent="0.25">
      <c r="A10" s="2" t="s">
        <v>68</v>
      </c>
      <c r="B10" s="2" t="s">
        <v>30</v>
      </c>
      <c r="C10" s="2" t="str">
        <f>CONCATENATE(A10,"_HTO-",B10)</f>
        <v>B4_HTO-C</v>
      </c>
      <c r="D10" s="2">
        <v>896</v>
      </c>
      <c r="E10" s="2" t="s">
        <v>21</v>
      </c>
      <c r="F10" s="1">
        <v>45</v>
      </c>
      <c r="G10" s="1" t="s">
        <v>29</v>
      </c>
      <c r="H10" s="1" t="s">
        <v>27</v>
      </c>
      <c r="I10" s="3" t="s">
        <v>27</v>
      </c>
      <c r="J10" s="1" t="s">
        <v>105</v>
      </c>
      <c r="K10" s="1" t="s">
        <v>104</v>
      </c>
      <c r="L10" s="1" t="s">
        <v>102</v>
      </c>
      <c r="M10" s="1" t="s">
        <v>185</v>
      </c>
      <c r="N10" s="1" t="s">
        <v>184</v>
      </c>
      <c r="O10" s="1" t="str">
        <f>CONCATENATE(N10, "_", A10)</f>
        <v>Bladder896_B4</v>
      </c>
    </row>
    <row r="11" spans="1:15" x14ac:dyDescent="0.25">
      <c r="A11" s="2" t="s">
        <v>68</v>
      </c>
      <c r="B11" s="2" t="s">
        <v>130</v>
      </c>
      <c r="C11" s="2" t="str">
        <f>CONCATENATE(A11,"_HTO-",B11)</f>
        <v>B4_HTO-D</v>
      </c>
      <c r="D11" s="2">
        <v>912</v>
      </c>
      <c r="E11" s="2" t="s">
        <v>21</v>
      </c>
      <c r="F11" s="1">
        <v>67</v>
      </c>
      <c r="G11" s="1" t="s">
        <v>142</v>
      </c>
      <c r="H11" s="1" t="s">
        <v>27</v>
      </c>
      <c r="I11" s="3" t="s">
        <v>27</v>
      </c>
      <c r="J11" s="1" t="s">
        <v>105</v>
      </c>
      <c r="K11" s="1" t="s">
        <v>104</v>
      </c>
      <c r="L11" s="1" t="s">
        <v>102</v>
      </c>
      <c r="M11" s="1" t="s">
        <v>183</v>
      </c>
      <c r="N11" s="1" t="s">
        <v>182</v>
      </c>
      <c r="O11" s="1" t="str">
        <f>CONCATENATE(N11, "_", A11)</f>
        <v>Bladder912_B4</v>
      </c>
    </row>
    <row r="12" spans="1:15" x14ac:dyDescent="0.25">
      <c r="A12" s="2" t="s">
        <v>68</v>
      </c>
      <c r="B12" s="2" t="s">
        <v>135</v>
      </c>
      <c r="C12" s="2" t="str">
        <f>CONCATENATE(A12,"_HTO-",B12)</f>
        <v>B4_HTO-E</v>
      </c>
      <c r="D12" s="2">
        <v>912</v>
      </c>
      <c r="E12" s="2" t="s">
        <v>21</v>
      </c>
      <c r="F12" s="1">
        <v>67</v>
      </c>
      <c r="G12" s="1" t="s">
        <v>142</v>
      </c>
      <c r="H12" s="1" t="s">
        <v>27</v>
      </c>
      <c r="I12" s="3" t="s">
        <v>27</v>
      </c>
      <c r="J12" s="1" t="s">
        <v>105</v>
      </c>
      <c r="K12" s="1" t="s">
        <v>104</v>
      </c>
      <c r="L12" s="1" t="s">
        <v>102</v>
      </c>
      <c r="M12" s="1" t="s">
        <v>183</v>
      </c>
      <c r="N12" s="1" t="s">
        <v>182</v>
      </c>
      <c r="O12" s="1" t="str">
        <f>CONCATENATE(N12, "_", A12)</f>
        <v>Bladder912_B4</v>
      </c>
    </row>
    <row r="13" spans="1:15" x14ac:dyDescent="0.25">
      <c r="A13" s="2" t="s">
        <v>68</v>
      </c>
      <c r="B13" s="2" t="s">
        <v>133</v>
      </c>
      <c r="C13" s="2" t="str">
        <f>CONCATENATE(A13,"_HTO-",B13)</f>
        <v>B4_HTO-F</v>
      </c>
      <c r="D13" s="2">
        <v>912</v>
      </c>
      <c r="E13" s="2" t="s">
        <v>21</v>
      </c>
      <c r="F13" s="1">
        <v>67</v>
      </c>
      <c r="G13" s="1" t="s">
        <v>142</v>
      </c>
      <c r="H13" s="1" t="s">
        <v>27</v>
      </c>
      <c r="I13" s="3" t="s">
        <v>27</v>
      </c>
      <c r="J13" s="1" t="s">
        <v>105</v>
      </c>
      <c r="K13" s="1" t="s">
        <v>104</v>
      </c>
      <c r="L13" s="1" t="s">
        <v>102</v>
      </c>
      <c r="M13" s="1" t="s">
        <v>183</v>
      </c>
      <c r="N13" s="1" t="s">
        <v>182</v>
      </c>
      <c r="O13" s="1" t="str">
        <f>CONCATENATE(N13, "_", A13)</f>
        <v>Bladder912_B4</v>
      </c>
    </row>
    <row r="14" spans="1:15" x14ac:dyDescent="0.25">
      <c r="A14" s="2" t="s">
        <v>42</v>
      </c>
      <c r="B14" s="2" t="s">
        <v>133</v>
      </c>
      <c r="C14" s="2" t="str">
        <f>CONCATENATE(A14,"_HTO-",B14)</f>
        <v>B8A_HTO-F</v>
      </c>
      <c r="D14" s="2">
        <v>8</v>
      </c>
      <c r="E14" s="2" t="s">
        <v>21</v>
      </c>
      <c r="F14" s="1">
        <v>82</v>
      </c>
      <c r="G14" s="1" t="s">
        <v>145</v>
      </c>
      <c r="H14" s="1" t="s">
        <v>26</v>
      </c>
      <c r="I14" s="3" t="s">
        <v>27</v>
      </c>
      <c r="J14" s="1" t="s">
        <v>105</v>
      </c>
      <c r="K14" s="1" t="s">
        <v>104</v>
      </c>
      <c r="L14" s="1" t="s">
        <v>102</v>
      </c>
      <c r="M14" s="1" t="s">
        <v>181</v>
      </c>
      <c r="N14" s="1" t="s">
        <v>180</v>
      </c>
      <c r="O14" s="1" t="str">
        <f>CONCATENATE(N14, "_", A14)</f>
        <v>Bladder8_B8A</v>
      </c>
    </row>
    <row r="15" spans="1:15" x14ac:dyDescent="0.25">
      <c r="A15" s="2" t="s">
        <v>36</v>
      </c>
      <c r="B15" s="2" t="s">
        <v>133</v>
      </c>
      <c r="C15" s="2" t="str">
        <f>CONCATENATE(A15,"_HTO-",B15)</f>
        <v>B8B_HTO-F</v>
      </c>
      <c r="D15" s="2">
        <v>8</v>
      </c>
      <c r="E15" s="2" t="s">
        <v>21</v>
      </c>
      <c r="F15" s="1">
        <v>82</v>
      </c>
      <c r="G15" s="1" t="s">
        <v>145</v>
      </c>
      <c r="H15" s="1" t="s">
        <v>26</v>
      </c>
      <c r="I15" s="3" t="s">
        <v>27</v>
      </c>
      <c r="J15" s="1" t="s">
        <v>105</v>
      </c>
      <c r="K15" s="1" t="s">
        <v>104</v>
      </c>
      <c r="L15" s="1" t="s">
        <v>102</v>
      </c>
      <c r="M15" s="1" t="s">
        <v>181</v>
      </c>
      <c r="N15" s="1" t="s">
        <v>180</v>
      </c>
      <c r="O15" s="1" t="str">
        <f>CONCATENATE(N15, "_", A15)</f>
        <v>Bladder8_B8B</v>
      </c>
    </row>
    <row r="16" spans="1:15" x14ac:dyDescent="0.25">
      <c r="A16" s="2" t="s">
        <v>58</v>
      </c>
      <c r="B16" s="2" t="s">
        <v>135</v>
      </c>
      <c r="C16" s="2" t="str">
        <f>CONCATENATE(A16,"_HTO-",B16)</f>
        <v>B6A_HTO-E</v>
      </c>
      <c r="D16" s="2">
        <v>36</v>
      </c>
      <c r="E16" s="2" t="s">
        <v>21</v>
      </c>
      <c r="F16" s="1">
        <v>84</v>
      </c>
      <c r="G16" s="1" t="s">
        <v>29</v>
      </c>
      <c r="H16" s="1" t="s">
        <v>26</v>
      </c>
      <c r="I16" s="3" t="s">
        <v>26</v>
      </c>
      <c r="J16" s="1" t="s">
        <v>105</v>
      </c>
      <c r="K16" s="1" t="s">
        <v>104</v>
      </c>
      <c r="L16" s="1" t="s">
        <v>110</v>
      </c>
      <c r="M16" s="1" t="s">
        <v>179</v>
      </c>
      <c r="N16" s="1" t="s">
        <v>178</v>
      </c>
      <c r="O16" s="1" t="str">
        <f>CONCATENATE(N16, "_", A16)</f>
        <v>Bladder36_B6A</v>
      </c>
    </row>
    <row r="17" spans="1:15" x14ac:dyDescent="0.25">
      <c r="A17" s="2" t="s">
        <v>52</v>
      </c>
      <c r="B17" s="2" t="s">
        <v>135</v>
      </c>
      <c r="C17" s="2" t="str">
        <f>CONCATENATE(A17,"_HTO-",B17)</f>
        <v>B6B_HTO-E</v>
      </c>
      <c r="D17" s="2">
        <v>36</v>
      </c>
      <c r="E17" s="2" t="s">
        <v>21</v>
      </c>
      <c r="F17" s="1">
        <v>84</v>
      </c>
      <c r="G17" s="1" t="s">
        <v>29</v>
      </c>
      <c r="H17" s="1" t="s">
        <v>26</v>
      </c>
      <c r="I17" s="3" t="s">
        <v>26</v>
      </c>
      <c r="J17" s="1" t="s">
        <v>105</v>
      </c>
      <c r="K17" s="1" t="s">
        <v>104</v>
      </c>
      <c r="L17" s="1" t="s">
        <v>110</v>
      </c>
      <c r="M17" s="1" t="s">
        <v>179</v>
      </c>
      <c r="N17" s="1" t="s">
        <v>178</v>
      </c>
      <c r="O17" s="1" t="str">
        <f>CONCATENATE(N17, "_", A17)</f>
        <v>Bladder36_B6B</v>
      </c>
    </row>
    <row r="18" spans="1:15" x14ac:dyDescent="0.25">
      <c r="A18" s="2" t="s">
        <v>89</v>
      </c>
      <c r="B18" s="2" t="s">
        <v>28</v>
      </c>
      <c r="C18" s="2" t="str">
        <f>CONCATENATE(A18,"_HTO-",B18)</f>
        <v>B1_HTO-A</v>
      </c>
      <c r="D18" s="2">
        <v>54</v>
      </c>
      <c r="E18" s="2" t="s">
        <v>21</v>
      </c>
      <c r="F18" s="1">
        <v>39</v>
      </c>
      <c r="G18" s="1" t="s">
        <v>145</v>
      </c>
      <c r="H18" s="1" t="s">
        <v>26</v>
      </c>
      <c r="I18" s="3" t="s">
        <v>26</v>
      </c>
      <c r="J18" s="1" t="s">
        <v>105</v>
      </c>
      <c r="K18" s="1" t="s">
        <v>104</v>
      </c>
      <c r="L18" s="1" t="s">
        <v>102</v>
      </c>
      <c r="M18" s="1" t="s">
        <v>177</v>
      </c>
      <c r="N18" s="1" t="s">
        <v>176</v>
      </c>
      <c r="O18" s="1" t="str">
        <f>CONCATENATE(N18, "_", A18)</f>
        <v>Bladder54_B1</v>
      </c>
    </row>
    <row r="19" spans="1:15" x14ac:dyDescent="0.25">
      <c r="A19" s="2" t="s">
        <v>89</v>
      </c>
      <c r="B19" s="2" t="s">
        <v>29</v>
      </c>
      <c r="C19" s="2" t="str">
        <f>CONCATENATE(A19,"_HTO-",B19)</f>
        <v>B1_HTO-B</v>
      </c>
      <c r="D19" s="2">
        <v>54</v>
      </c>
      <c r="E19" s="2" t="s">
        <v>21</v>
      </c>
      <c r="F19" s="1">
        <v>39</v>
      </c>
      <c r="G19" s="1" t="s">
        <v>145</v>
      </c>
      <c r="H19" s="1" t="s">
        <v>26</v>
      </c>
      <c r="I19" s="3" t="s">
        <v>26</v>
      </c>
      <c r="J19" s="1" t="s">
        <v>105</v>
      </c>
      <c r="K19" s="1" t="s">
        <v>104</v>
      </c>
      <c r="L19" s="1" t="s">
        <v>102</v>
      </c>
      <c r="M19" s="1" t="s">
        <v>177</v>
      </c>
      <c r="N19" s="1" t="s">
        <v>176</v>
      </c>
      <c r="O19" s="1" t="str">
        <f>CONCATENATE(N19, "_", A19)</f>
        <v>Bladder54_B1</v>
      </c>
    </row>
    <row r="20" spans="1:15" x14ac:dyDescent="0.25">
      <c r="A20" s="2" t="s">
        <v>89</v>
      </c>
      <c r="B20" s="2" t="s">
        <v>30</v>
      </c>
      <c r="C20" s="6" t="str">
        <f>CONCATENATE(A20,"_HTO-",B20)</f>
        <v>B1_HTO-C</v>
      </c>
      <c r="D20" s="2">
        <v>54</v>
      </c>
      <c r="E20" s="2" t="s">
        <v>21</v>
      </c>
      <c r="F20" s="1">
        <v>39</v>
      </c>
      <c r="G20" s="1" t="s">
        <v>145</v>
      </c>
      <c r="H20" s="1" t="s">
        <v>26</v>
      </c>
      <c r="I20" s="3" t="s">
        <v>26</v>
      </c>
      <c r="J20" s="1" t="s">
        <v>105</v>
      </c>
      <c r="K20" s="1" t="s">
        <v>104</v>
      </c>
      <c r="L20" s="1" t="s">
        <v>102</v>
      </c>
      <c r="M20" s="1" t="s">
        <v>177</v>
      </c>
      <c r="N20" s="1" t="s">
        <v>176</v>
      </c>
      <c r="O20" s="1" t="str">
        <f>CONCATENATE(N20, "_", A20)</f>
        <v>Bladder54_B1</v>
      </c>
    </row>
    <row r="21" spans="1:15" x14ac:dyDescent="0.25">
      <c r="A21" s="2" t="s">
        <v>58</v>
      </c>
      <c r="B21" s="2" t="s">
        <v>29</v>
      </c>
      <c r="C21" s="2" t="str">
        <f>CONCATENATE(A21,"_HTO-",B21)</f>
        <v>B6A_HTO-B</v>
      </c>
      <c r="D21" s="2">
        <v>59</v>
      </c>
      <c r="E21" s="2" t="s">
        <v>21</v>
      </c>
      <c r="F21" s="1">
        <v>71</v>
      </c>
      <c r="G21" s="1" t="s">
        <v>29</v>
      </c>
      <c r="H21" s="1" t="s">
        <v>26</v>
      </c>
      <c r="I21" s="3" t="s">
        <v>26</v>
      </c>
      <c r="J21" s="1" t="s">
        <v>105</v>
      </c>
      <c r="K21" s="1" t="s">
        <v>104</v>
      </c>
      <c r="L21" s="1" t="s">
        <v>102</v>
      </c>
      <c r="M21" s="1" t="s">
        <v>175</v>
      </c>
      <c r="N21" s="1" t="s">
        <v>174</v>
      </c>
      <c r="O21" s="1" t="str">
        <f>CONCATENATE(N21, "_", A21)</f>
        <v>Bladder59_B6A</v>
      </c>
    </row>
    <row r="22" spans="1:15" x14ac:dyDescent="0.25">
      <c r="A22" s="2" t="s">
        <v>52</v>
      </c>
      <c r="B22" s="2" t="s">
        <v>29</v>
      </c>
      <c r="C22" s="2" t="str">
        <f>CONCATENATE(A22,"_HTO-",B22)</f>
        <v>B6B_HTO-B</v>
      </c>
      <c r="D22" s="2">
        <v>59</v>
      </c>
      <c r="E22" s="2" t="s">
        <v>21</v>
      </c>
      <c r="F22" s="1">
        <v>71</v>
      </c>
      <c r="G22" s="1" t="s">
        <v>29</v>
      </c>
      <c r="H22" s="1" t="s">
        <v>26</v>
      </c>
      <c r="I22" s="3" t="s">
        <v>26</v>
      </c>
      <c r="J22" s="1" t="s">
        <v>105</v>
      </c>
      <c r="K22" s="1" t="s">
        <v>104</v>
      </c>
      <c r="L22" s="1" t="s">
        <v>102</v>
      </c>
      <c r="M22" s="1" t="s">
        <v>175</v>
      </c>
      <c r="N22" s="1" t="s">
        <v>174</v>
      </c>
      <c r="O22" s="1" t="str">
        <f>CONCATENATE(N22, "_", A22)</f>
        <v>Bladder59_B6B</v>
      </c>
    </row>
    <row r="23" spans="1:15" x14ac:dyDescent="0.25">
      <c r="A23" s="2" t="s">
        <v>42</v>
      </c>
      <c r="B23" s="2" t="s">
        <v>30</v>
      </c>
      <c r="C23" s="2" t="str">
        <f>CONCATENATE(A23,"_HTO-",B23)</f>
        <v>B8A_HTO-C</v>
      </c>
      <c r="D23" s="2">
        <v>446</v>
      </c>
      <c r="E23" s="2" t="s">
        <v>21</v>
      </c>
      <c r="F23" s="1">
        <v>51</v>
      </c>
      <c r="G23" s="1" t="s">
        <v>145</v>
      </c>
      <c r="H23" s="1" t="s">
        <v>26</v>
      </c>
      <c r="I23" s="3" t="s">
        <v>26</v>
      </c>
      <c r="J23" s="1" t="s">
        <v>105</v>
      </c>
      <c r="K23" s="1" t="s">
        <v>104</v>
      </c>
      <c r="L23" s="1" t="s">
        <v>102</v>
      </c>
      <c r="M23" s="1" t="s">
        <v>173</v>
      </c>
      <c r="N23" s="1" t="s">
        <v>172</v>
      </c>
      <c r="O23" s="1" t="str">
        <f>CONCATENATE(N23, "_", A23)</f>
        <v>Bladder446_B8A</v>
      </c>
    </row>
    <row r="24" spans="1:15" x14ac:dyDescent="0.25">
      <c r="A24" s="2" t="s">
        <v>36</v>
      </c>
      <c r="B24" s="2" t="s">
        <v>30</v>
      </c>
      <c r="C24" s="2" t="str">
        <f>CONCATENATE(A24,"_HTO-",B24)</f>
        <v>B8B_HTO-C</v>
      </c>
      <c r="D24" s="2">
        <v>446</v>
      </c>
      <c r="E24" s="2" t="s">
        <v>21</v>
      </c>
      <c r="F24" s="1">
        <v>51</v>
      </c>
      <c r="G24" s="1" t="s">
        <v>145</v>
      </c>
      <c r="H24" s="1" t="s">
        <v>26</v>
      </c>
      <c r="I24" s="3" t="s">
        <v>26</v>
      </c>
      <c r="J24" s="1" t="s">
        <v>105</v>
      </c>
      <c r="K24" s="1" t="s">
        <v>104</v>
      </c>
      <c r="L24" s="1" t="s">
        <v>102</v>
      </c>
      <c r="M24" s="1" t="s">
        <v>173</v>
      </c>
      <c r="N24" s="1" t="s">
        <v>172</v>
      </c>
      <c r="O24" s="1" t="str">
        <f>CONCATENATE(N24, "_", A24)</f>
        <v>Bladder446_B8B</v>
      </c>
    </row>
    <row r="25" spans="1:15" x14ac:dyDescent="0.25">
      <c r="A25" s="2" t="s">
        <v>42</v>
      </c>
      <c r="B25" s="2" t="s">
        <v>130</v>
      </c>
      <c r="C25" s="2" t="str">
        <f>CONCATENATE(A25,"_HTO-",B25)</f>
        <v>B8A_HTO-D</v>
      </c>
      <c r="D25" s="2">
        <v>485</v>
      </c>
      <c r="E25" s="2" t="s">
        <v>21</v>
      </c>
      <c r="F25" s="1">
        <v>78</v>
      </c>
      <c r="G25" s="1" t="s">
        <v>145</v>
      </c>
      <c r="H25" s="1" t="s">
        <v>26</v>
      </c>
      <c r="I25" s="3" t="s">
        <v>27</v>
      </c>
      <c r="J25" s="1" t="s">
        <v>105</v>
      </c>
      <c r="K25" s="1" t="s">
        <v>104</v>
      </c>
      <c r="L25" s="1" t="s">
        <v>102</v>
      </c>
      <c r="M25" s="1" t="s">
        <v>171</v>
      </c>
      <c r="N25" s="1" t="s">
        <v>170</v>
      </c>
      <c r="O25" s="1" t="str">
        <f>CONCATENATE(N25, "_", A25)</f>
        <v>Bladder485_B8A</v>
      </c>
    </row>
    <row r="26" spans="1:15" x14ac:dyDescent="0.25">
      <c r="A26" s="2" t="s">
        <v>36</v>
      </c>
      <c r="B26" s="2" t="s">
        <v>130</v>
      </c>
      <c r="C26" s="2" t="str">
        <f>CONCATENATE(A26,"_HTO-",B26)</f>
        <v>B8B_HTO-D</v>
      </c>
      <c r="D26" s="2">
        <v>485</v>
      </c>
      <c r="E26" s="2" t="s">
        <v>21</v>
      </c>
      <c r="F26" s="1">
        <v>78</v>
      </c>
      <c r="G26" s="1" t="s">
        <v>145</v>
      </c>
      <c r="H26" s="1" t="s">
        <v>26</v>
      </c>
      <c r="I26" s="3" t="s">
        <v>27</v>
      </c>
      <c r="J26" s="1" t="s">
        <v>105</v>
      </c>
      <c r="K26" s="1" t="s">
        <v>104</v>
      </c>
      <c r="L26" s="1" t="s">
        <v>102</v>
      </c>
      <c r="M26" s="1" t="s">
        <v>171</v>
      </c>
      <c r="N26" s="1" t="s">
        <v>170</v>
      </c>
      <c r="O26" s="1" t="str">
        <f>CONCATENATE(N26, "_", A26)</f>
        <v>Bladder485_B8B</v>
      </c>
    </row>
    <row r="27" spans="1:15" x14ac:dyDescent="0.25">
      <c r="A27" s="2" t="s">
        <v>58</v>
      </c>
      <c r="B27" s="2" t="s">
        <v>28</v>
      </c>
      <c r="C27" s="2" t="str">
        <f>CONCATENATE(A27,"_HTO-",B27)</f>
        <v>B6A_HTO-A</v>
      </c>
      <c r="D27" s="2">
        <v>489</v>
      </c>
      <c r="E27" s="2" t="s">
        <v>21</v>
      </c>
      <c r="F27" s="1">
        <v>55</v>
      </c>
      <c r="G27" s="1" t="s">
        <v>145</v>
      </c>
      <c r="H27" s="1" t="s">
        <v>26</v>
      </c>
      <c r="I27" s="3" t="s">
        <v>26</v>
      </c>
      <c r="J27" s="1" t="s">
        <v>105</v>
      </c>
      <c r="K27" s="1" t="s">
        <v>104</v>
      </c>
      <c r="L27" s="1" t="s">
        <v>102</v>
      </c>
      <c r="M27" s="1" t="s">
        <v>169</v>
      </c>
      <c r="N27" s="1" t="s">
        <v>168</v>
      </c>
      <c r="O27" s="1" t="str">
        <f>CONCATENATE(N27, "_", A27)</f>
        <v>Bladder489_B6A</v>
      </c>
    </row>
    <row r="28" spans="1:15" x14ac:dyDescent="0.25">
      <c r="A28" s="2" t="s">
        <v>52</v>
      </c>
      <c r="B28" s="2" t="s">
        <v>28</v>
      </c>
      <c r="C28" s="2" t="str">
        <f>CONCATENATE(A28,"_HTO-",B28)</f>
        <v>B6B_HTO-A</v>
      </c>
      <c r="D28" s="2">
        <v>489</v>
      </c>
      <c r="E28" s="2" t="s">
        <v>21</v>
      </c>
      <c r="F28" s="1">
        <v>55</v>
      </c>
      <c r="G28" s="1" t="s">
        <v>145</v>
      </c>
      <c r="H28" s="1" t="s">
        <v>26</v>
      </c>
      <c r="I28" s="3" t="s">
        <v>26</v>
      </c>
      <c r="J28" s="1" t="s">
        <v>105</v>
      </c>
      <c r="K28" s="1" t="s">
        <v>104</v>
      </c>
      <c r="L28" s="1" t="s">
        <v>102</v>
      </c>
      <c r="M28" s="1" t="s">
        <v>169</v>
      </c>
      <c r="N28" s="1" t="s">
        <v>168</v>
      </c>
      <c r="O28" s="1" t="str">
        <f>CONCATENATE(N28, "_", A28)</f>
        <v>Bladder489_B6B</v>
      </c>
    </row>
    <row r="29" spans="1:15" x14ac:dyDescent="0.25">
      <c r="A29" s="2" t="s">
        <v>42</v>
      </c>
      <c r="B29" s="2" t="s">
        <v>135</v>
      </c>
      <c r="C29" s="2" t="str">
        <f>CONCATENATE(A29,"_HTO-",B29)</f>
        <v>B8A_HTO-E</v>
      </c>
      <c r="D29" s="2">
        <v>518</v>
      </c>
      <c r="E29" s="2" t="s">
        <v>21</v>
      </c>
      <c r="F29" s="1">
        <v>71</v>
      </c>
      <c r="G29" s="1" t="s">
        <v>145</v>
      </c>
      <c r="H29" s="1" t="s">
        <v>26</v>
      </c>
      <c r="I29" s="3" t="s">
        <v>27</v>
      </c>
      <c r="J29" s="1" t="s">
        <v>105</v>
      </c>
      <c r="K29" s="1" t="s">
        <v>104</v>
      </c>
      <c r="L29" s="1" t="s">
        <v>102</v>
      </c>
      <c r="M29" s="1" t="s">
        <v>167</v>
      </c>
      <c r="N29" s="1" t="s">
        <v>166</v>
      </c>
      <c r="O29" s="1" t="str">
        <f>CONCATENATE(N29, "_", A29)</f>
        <v>Bladder518_B8A</v>
      </c>
    </row>
    <row r="30" spans="1:15" x14ac:dyDescent="0.25">
      <c r="A30" s="2" t="s">
        <v>36</v>
      </c>
      <c r="B30" s="2" t="s">
        <v>135</v>
      </c>
      <c r="C30" s="2" t="str">
        <f>CONCATENATE(A30,"_HTO-",B30)</f>
        <v>B8B_HTO-E</v>
      </c>
      <c r="D30" s="2">
        <v>518</v>
      </c>
      <c r="E30" s="2" t="s">
        <v>21</v>
      </c>
      <c r="F30" s="1">
        <v>71</v>
      </c>
      <c r="G30" s="1" t="s">
        <v>145</v>
      </c>
      <c r="H30" s="1" t="s">
        <v>26</v>
      </c>
      <c r="I30" s="3" t="s">
        <v>27</v>
      </c>
      <c r="J30" s="1" t="s">
        <v>105</v>
      </c>
      <c r="K30" s="1" t="s">
        <v>104</v>
      </c>
      <c r="L30" s="1" t="s">
        <v>102</v>
      </c>
      <c r="M30" s="1" t="s">
        <v>167</v>
      </c>
      <c r="N30" s="1" t="s">
        <v>166</v>
      </c>
      <c r="O30" s="1" t="str">
        <f>CONCATENATE(N30, "_", A30)</f>
        <v>Bladder518_B8B</v>
      </c>
    </row>
    <row r="31" spans="1:15" x14ac:dyDescent="0.25">
      <c r="A31" s="2" t="s">
        <v>58</v>
      </c>
      <c r="B31" s="2" t="s">
        <v>30</v>
      </c>
      <c r="C31" s="2" t="str">
        <f>CONCATENATE(A31,"_HTO-",B31)</f>
        <v>B6A_HTO-C</v>
      </c>
      <c r="D31" s="2">
        <v>590</v>
      </c>
      <c r="E31" s="2" t="s">
        <v>21</v>
      </c>
      <c r="F31" s="1">
        <v>51</v>
      </c>
      <c r="G31" s="1" t="s">
        <v>145</v>
      </c>
      <c r="H31" s="1" t="s">
        <v>26</v>
      </c>
      <c r="I31" s="3" t="s">
        <v>26</v>
      </c>
      <c r="J31" s="1" t="s">
        <v>105</v>
      </c>
      <c r="K31" s="1" t="s">
        <v>104</v>
      </c>
      <c r="L31" s="1" t="s">
        <v>102</v>
      </c>
      <c r="M31" s="1" t="s">
        <v>165</v>
      </c>
      <c r="N31" s="1" t="s">
        <v>164</v>
      </c>
      <c r="O31" s="1" t="str">
        <f>CONCATENATE(N31, "_", A31)</f>
        <v>Bladder590_B6A</v>
      </c>
    </row>
    <row r="32" spans="1:15" x14ac:dyDescent="0.25">
      <c r="A32" s="2" t="s">
        <v>52</v>
      </c>
      <c r="B32" s="2" t="s">
        <v>30</v>
      </c>
      <c r="C32" s="2" t="str">
        <f>CONCATENATE(A32,"_HTO-",B32)</f>
        <v>B6B_HTO-C</v>
      </c>
      <c r="D32" s="2">
        <v>590</v>
      </c>
      <c r="E32" s="2" t="s">
        <v>21</v>
      </c>
      <c r="F32" s="1">
        <v>51</v>
      </c>
      <c r="G32" s="1" t="s">
        <v>145</v>
      </c>
      <c r="H32" s="1" t="s">
        <v>26</v>
      </c>
      <c r="I32" s="3" t="s">
        <v>26</v>
      </c>
      <c r="J32" s="1" t="s">
        <v>105</v>
      </c>
      <c r="K32" s="1" t="s">
        <v>104</v>
      </c>
      <c r="L32" s="1" t="s">
        <v>102</v>
      </c>
      <c r="M32" s="1" t="s">
        <v>165</v>
      </c>
      <c r="N32" s="1" t="s">
        <v>164</v>
      </c>
      <c r="O32" s="1" t="str">
        <f>CONCATENATE(N32, "_", A32)</f>
        <v>Bladder590_B6B</v>
      </c>
    </row>
    <row r="33" spans="1:15" x14ac:dyDescent="0.25">
      <c r="A33" s="2" t="s">
        <v>42</v>
      </c>
      <c r="B33" s="2" t="s">
        <v>28</v>
      </c>
      <c r="C33" s="2" t="str">
        <f>CONCATENATE(A33,"_HTO-",B33)</f>
        <v>B8A_HTO-A</v>
      </c>
      <c r="D33" s="2">
        <v>593</v>
      </c>
      <c r="E33" s="2" t="s">
        <v>21</v>
      </c>
      <c r="F33" s="1">
        <v>81</v>
      </c>
      <c r="G33" s="1" t="s">
        <v>145</v>
      </c>
      <c r="H33" s="1" t="s">
        <v>26</v>
      </c>
      <c r="I33" s="3" t="s">
        <v>27</v>
      </c>
      <c r="J33" s="1" t="s">
        <v>105</v>
      </c>
      <c r="K33" s="1" t="s">
        <v>104</v>
      </c>
      <c r="L33" s="1" t="s">
        <v>102</v>
      </c>
      <c r="M33" s="1" t="s">
        <v>163</v>
      </c>
      <c r="N33" s="1" t="s">
        <v>162</v>
      </c>
      <c r="O33" s="1" t="str">
        <f>CONCATENATE(N33, "_", A33)</f>
        <v>Bladder593_B8A</v>
      </c>
    </row>
    <row r="34" spans="1:15" x14ac:dyDescent="0.25">
      <c r="A34" s="2" t="s">
        <v>36</v>
      </c>
      <c r="B34" s="2" t="s">
        <v>28</v>
      </c>
      <c r="C34" s="2" t="str">
        <f>CONCATENATE(A34,"_HTO-",B34)</f>
        <v>B8B_HTO-A</v>
      </c>
      <c r="D34" s="2">
        <v>593</v>
      </c>
      <c r="E34" s="2" t="s">
        <v>21</v>
      </c>
      <c r="F34" s="1">
        <v>81</v>
      </c>
      <c r="G34" s="1" t="s">
        <v>145</v>
      </c>
      <c r="H34" s="1" t="s">
        <v>26</v>
      </c>
      <c r="I34" s="3" t="s">
        <v>27</v>
      </c>
      <c r="J34" s="1" t="s">
        <v>105</v>
      </c>
      <c r="K34" s="1" t="s">
        <v>104</v>
      </c>
      <c r="L34" s="1" t="s">
        <v>102</v>
      </c>
      <c r="M34" s="1" t="s">
        <v>163</v>
      </c>
      <c r="N34" s="1" t="s">
        <v>162</v>
      </c>
      <c r="O34" s="1" t="str">
        <f>CONCATENATE(N34, "_", A34)</f>
        <v>Bladder593_B8B</v>
      </c>
    </row>
    <row r="35" spans="1:15" x14ac:dyDescent="0.25">
      <c r="A35" s="2" t="s">
        <v>89</v>
      </c>
      <c r="B35" s="2" t="s">
        <v>130</v>
      </c>
      <c r="C35" s="6" t="str">
        <f>CONCATENATE(A35,"_HTO-",B35)</f>
        <v>B1_HTO-D</v>
      </c>
      <c r="D35" s="2">
        <v>674</v>
      </c>
      <c r="E35" s="2" t="s">
        <v>21</v>
      </c>
      <c r="F35" s="1">
        <v>73</v>
      </c>
      <c r="G35" s="1" t="s">
        <v>145</v>
      </c>
      <c r="H35" s="1" t="s">
        <v>26</v>
      </c>
      <c r="I35" s="3" t="s">
        <v>26</v>
      </c>
      <c r="J35" s="1" t="s">
        <v>105</v>
      </c>
      <c r="K35" s="1" t="s">
        <v>104</v>
      </c>
      <c r="L35" s="1" t="s">
        <v>102</v>
      </c>
      <c r="M35" s="1" t="s">
        <v>161</v>
      </c>
      <c r="N35" s="1" t="s">
        <v>160</v>
      </c>
      <c r="O35" s="1" t="str">
        <f>CONCATENATE(N35, "_", A35)</f>
        <v>Bladder674_B1</v>
      </c>
    </row>
    <row r="36" spans="1:15" x14ac:dyDescent="0.25">
      <c r="A36" s="2" t="s">
        <v>89</v>
      </c>
      <c r="B36" s="2" t="s">
        <v>135</v>
      </c>
      <c r="C36" s="2" t="str">
        <f>CONCATENATE(A36,"_HTO-",B36)</f>
        <v>B1_HTO-E</v>
      </c>
      <c r="D36" s="2">
        <v>674</v>
      </c>
      <c r="E36" s="2" t="s">
        <v>21</v>
      </c>
      <c r="F36" s="1">
        <v>73</v>
      </c>
      <c r="G36" s="1" t="s">
        <v>145</v>
      </c>
      <c r="H36" s="1" t="s">
        <v>26</v>
      </c>
      <c r="I36" s="3" t="s">
        <v>26</v>
      </c>
      <c r="J36" s="1" t="s">
        <v>105</v>
      </c>
      <c r="K36" s="1" t="s">
        <v>104</v>
      </c>
      <c r="L36" s="1" t="s">
        <v>102</v>
      </c>
      <c r="M36" s="1" t="s">
        <v>161</v>
      </c>
      <c r="N36" s="1" t="s">
        <v>160</v>
      </c>
      <c r="O36" s="1" t="str">
        <f>CONCATENATE(N36, "_", A36)</f>
        <v>Bladder674_B1</v>
      </c>
    </row>
    <row r="37" spans="1:15" x14ac:dyDescent="0.25">
      <c r="A37" s="2" t="s">
        <v>89</v>
      </c>
      <c r="B37" s="2" t="s">
        <v>133</v>
      </c>
      <c r="C37" s="2" t="str">
        <f>CONCATENATE(A37,"_HTO-",B37)</f>
        <v>B1_HTO-F</v>
      </c>
      <c r="D37" s="2">
        <v>674</v>
      </c>
      <c r="E37" s="2" t="s">
        <v>21</v>
      </c>
      <c r="F37" s="1">
        <v>73</v>
      </c>
      <c r="G37" s="1" t="s">
        <v>145</v>
      </c>
      <c r="H37" s="1" t="s">
        <v>26</v>
      </c>
      <c r="I37" s="3" t="s">
        <v>26</v>
      </c>
      <c r="J37" s="1" t="s">
        <v>105</v>
      </c>
      <c r="K37" s="1" t="s">
        <v>104</v>
      </c>
      <c r="L37" s="1" t="s">
        <v>102</v>
      </c>
      <c r="M37" s="1" t="s">
        <v>161</v>
      </c>
      <c r="N37" s="1" t="s">
        <v>160</v>
      </c>
      <c r="O37" s="1" t="str">
        <f>CONCATENATE(N37, "_", A37)</f>
        <v>Bladder674_B1</v>
      </c>
    </row>
    <row r="38" spans="1:15" x14ac:dyDescent="0.25">
      <c r="A38" s="2" t="s">
        <v>82</v>
      </c>
      <c r="B38" s="2" t="s">
        <v>28</v>
      </c>
      <c r="C38" s="2" t="str">
        <f>CONCATENATE(A38,"_HTO-",B38)</f>
        <v>B2_HTO-A</v>
      </c>
      <c r="D38" s="2">
        <v>702</v>
      </c>
      <c r="E38" s="2" t="s">
        <v>21</v>
      </c>
      <c r="F38" s="1">
        <v>46</v>
      </c>
      <c r="G38" s="1" t="s">
        <v>142</v>
      </c>
      <c r="H38" s="1" t="s">
        <v>26</v>
      </c>
      <c r="I38" s="3" t="s">
        <v>26</v>
      </c>
      <c r="J38" s="1" t="s">
        <v>105</v>
      </c>
      <c r="K38" s="1" t="s">
        <v>104</v>
      </c>
      <c r="L38" s="1" t="s">
        <v>108</v>
      </c>
      <c r="M38" s="1" t="s">
        <v>159</v>
      </c>
      <c r="N38" s="1" t="s">
        <v>158</v>
      </c>
      <c r="O38" s="1" t="str">
        <f>CONCATENATE(N38, "_", A38)</f>
        <v>Bladder702_B2</v>
      </c>
    </row>
    <row r="39" spans="1:15" x14ac:dyDescent="0.25">
      <c r="A39" s="2" t="s">
        <v>82</v>
      </c>
      <c r="B39" s="2" t="s">
        <v>29</v>
      </c>
      <c r="C39" s="2" t="str">
        <f>CONCATENATE(A39,"_HTO-",B39)</f>
        <v>B2_HTO-B</v>
      </c>
      <c r="D39" s="2">
        <v>702</v>
      </c>
      <c r="E39" s="2" t="s">
        <v>21</v>
      </c>
      <c r="F39" s="1">
        <v>46</v>
      </c>
      <c r="G39" s="1" t="s">
        <v>142</v>
      </c>
      <c r="H39" s="1" t="s">
        <v>26</v>
      </c>
      <c r="I39" s="3" t="s">
        <v>26</v>
      </c>
      <c r="J39" s="1" t="s">
        <v>105</v>
      </c>
      <c r="K39" s="1" t="s">
        <v>104</v>
      </c>
      <c r="L39" s="1" t="s">
        <v>108</v>
      </c>
      <c r="M39" s="1" t="s">
        <v>159</v>
      </c>
      <c r="N39" s="1" t="s">
        <v>158</v>
      </c>
      <c r="O39" s="1" t="str">
        <f>CONCATENATE(N39, "_", A39)</f>
        <v>Bladder702_B2</v>
      </c>
    </row>
    <row r="40" spans="1:15" x14ac:dyDescent="0.25">
      <c r="A40" s="2" t="s">
        <v>82</v>
      </c>
      <c r="B40" s="2" t="s">
        <v>30</v>
      </c>
      <c r="C40" s="2" t="str">
        <f>CONCATENATE(A40,"_HTO-",B40)</f>
        <v>B2_HTO-C</v>
      </c>
      <c r="D40" s="2">
        <v>702</v>
      </c>
      <c r="E40" s="2" t="s">
        <v>21</v>
      </c>
      <c r="F40" s="1">
        <v>46</v>
      </c>
      <c r="G40" s="1" t="s">
        <v>142</v>
      </c>
      <c r="H40" s="1" t="s">
        <v>26</v>
      </c>
      <c r="I40" s="3" t="s">
        <v>26</v>
      </c>
      <c r="J40" s="1" t="s">
        <v>105</v>
      </c>
      <c r="K40" s="1" t="s">
        <v>104</v>
      </c>
      <c r="L40" s="1" t="s">
        <v>108</v>
      </c>
      <c r="M40" s="1" t="s">
        <v>159</v>
      </c>
      <c r="N40" s="1" t="s">
        <v>158</v>
      </c>
      <c r="O40" s="1" t="str">
        <f>CONCATENATE(N40, "_", A40)</f>
        <v>Bladder702_B2</v>
      </c>
    </row>
    <row r="41" spans="1:15" x14ac:dyDescent="0.25">
      <c r="A41" s="2" t="s">
        <v>50</v>
      </c>
      <c r="B41" s="2" t="s">
        <v>28</v>
      </c>
      <c r="C41" s="2" t="str">
        <f>CONCATENATE(A41,"_HTO-",B41)</f>
        <v>B7A_HTO-A</v>
      </c>
      <c r="D41" s="2">
        <v>739</v>
      </c>
      <c r="E41" s="2" t="s">
        <v>21</v>
      </c>
      <c r="F41" s="1">
        <v>49</v>
      </c>
      <c r="G41" s="1" t="s">
        <v>142</v>
      </c>
      <c r="H41" s="1" t="s">
        <v>26</v>
      </c>
      <c r="I41" s="3" t="s">
        <v>26</v>
      </c>
      <c r="J41" s="1" t="s">
        <v>105</v>
      </c>
      <c r="K41" s="1" t="s">
        <v>104</v>
      </c>
      <c r="L41" s="1" t="s">
        <v>102</v>
      </c>
      <c r="M41" s="1" t="s">
        <v>157</v>
      </c>
      <c r="N41" s="1" t="s">
        <v>156</v>
      </c>
      <c r="O41" s="1" t="str">
        <f>CONCATENATE(N41, "_", A41)</f>
        <v>Bladder739_B7A</v>
      </c>
    </row>
    <row r="42" spans="1:15" x14ac:dyDescent="0.25">
      <c r="A42" s="2" t="s">
        <v>44</v>
      </c>
      <c r="B42" s="2" t="s">
        <v>28</v>
      </c>
      <c r="C42" s="2" t="str">
        <f>CONCATENATE(A42,"_HTO-",B42)</f>
        <v>B7B_HTO-A</v>
      </c>
      <c r="D42" s="2">
        <v>739</v>
      </c>
      <c r="E42" s="2" t="s">
        <v>21</v>
      </c>
      <c r="F42" s="1">
        <v>49</v>
      </c>
      <c r="G42" s="1" t="s">
        <v>142</v>
      </c>
      <c r="H42" s="1" t="s">
        <v>26</v>
      </c>
      <c r="I42" s="3" t="s">
        <v>26</v>
      </c>
      <c r="J42" s="1" t="s">
        <v>105</v>
      </c>
      <c r="K42" s="1" t="s">
        <v>104</v>
      </c>
      <c r="L42" s="1" t="s">
        <v>102</v>
      </c>
      <c r="M42" s="1" t="s">
        <v>157</v>
      </c>
      <c r="N42" s="1" t="s">
        <v>156</v>
      </c>
      <c r="O42" s="1" t="str">
        <f>CONCATENATE(N42, "_", A42)</f>
        <v>Bladder739_B7B</v>
      </c>
    </row>
    <row r="43" spans="1:15" x14ac:dyDescent="0.25">
      <c r="A43" s="2" t="s">
        <v>82</v>
      </c>
      <c r="B43" s="2" t="s">
        <v>130</v>
      </c>
      <c r="C43" s="6" t="str">
        <f>CONCATENATE(A43,"_HTO-",B43)</f>
        <v>B2_HTO-D</v>
      </c>
      <c r="D43" s="2">
        <v>752</v>
      </c>
      <c r="E43" s="2" t="s">
        <v>21</v>
      </c>
      <c r="F43" s="1">
        <v>63</v>
      </c>
      <c r="G43" s="1" t="s">
        <v>145</v>
      </c>
      <c r="H43" s="1" t="s">
        <v>26</v>
      </c>
      <c r="I43" s="3" t="s">
        <v>26</v>
      </c>
      <c r="J43" s="1" t="s">
        <v>105</v>
      </c>
      <c r="K43" s="1" t="s">
        <v>104</v>
      </c>
      <c r="L43" s="1" t="s">
        <v>102</v>
      </c>
      <c r="M43" s="1" t="s">
        <v>155</v>
      </c>
      <c r="N43" s="1" t="s">
        <v>154</v>
      </c>
      <c r="O43" s="1" t="str">
        <f>CONCATENATE(N43, "_", A43)</f>
        <v>Bladder752_B2</v>
      </c>
    </row>
    <row r="44" spans="1:15" x14ac:dyDescent="0.25">
      <c r="A44" s="2" t="s">
        <v>82</v>
      </c>
      <c r="B44" s="2" t="s">
        <v>135</v>
      </c>
      <c r="C44" s="6" t="str">
        <f>CONCATENATE(A44,"_HTO-",B44)</f>
        <v>B2_HTO-E</v>
      </c>
      <c r="D44" s="2">
        <v>752</v>
      </c>
      <c r="E44" s="2" t="s">
        <v>21</v>
      </c>
      <c r="F44" s="1">
        <v>63</v>
      </c>
      <c r="G44" s="1" t="s">
        <v>145</v>
      </c>
      <c r="H44" s="1" t="s">
        <v>26</v>
      </c>
      <c r="I44" s="3" t="s">
        <v>26</v>
      </c>
      <c r="J44" s="1" t="s">
        <v>105</v>
      </c>
      <c r="K44" s="1" t="s">
        <v>104</v>
      </c>
      <c r="L44" s="1" t="s">
        <v>102</v>
      </c>
      <c r="M44" s="1" t="s">
        <v>155</v>
      </c>
      <c r="N44" s="1" t="s">
        <v>154</v>
      </c>
      <c r="O44" s="1" t="str">
        <f>CONCATENATE(N44, "_", A44)</f>
        <v>Bladder752_B2</v>
      </c>
    </row>
    <row r="45" spans="1:15" x14ac:dyDescent="0.25">
      <c r="A45" s="2" t="s">
        <v>82</v>
      </c>
      <c r="B45" s="2" t="s">
        <v>133</v>
      </c>
      <c r="C45" s="6" t="str">
        <f>CONCATENATE(A45,"_HTO-",B45)</f>
        <v>B2_HTO-F</v>
      </c>
      <c r="D45" s="2">
        <v>752</v>
      </c>
      <c r="E45" s="2" t="s">
        <v>21</v>
      </c>
      <c r="F45" s="1">
        <v>63</v>
      </c>
      <c r="G45" s="1" t="s">
        <v>145</v>
      </c>
      <c r="H45" s="1" t="s">
        <v>26</v>
      </c>
      <c r="I45" s="3" t="s">
        <v>26</v>
      </c>
      <c r="J45" s="1" t="s">
        <v>105</v>
      </c>
      <c r="K45" s="1" t="s">
        <v>104</v>
      </c>
      <c r="L45" s="1" t="s">
        <v>102</v>
      </c>
      <c r="M45" s="1" t="s">
        <v>155</v>
      </c>
      <c r="N45" s="1" t="s">
        <v>154</v>
      </c>
      <c r="O45" s="1" t="str">
        <f>CONCATENATE(N45, "_", A45)</f>
        <v>Bladder752_B2</v>
      </c>
    </row>
    <row r="46" spans="1:15" x14ac:dyDescent="0.25">
      <c r="A46" s="2" t="s">
        <v>50</v>
      </c>
      <c r="B46" s="2" t="s">
        <v>29</v>
      </c>
      <c r="C46" s="2" t="str">
        <f>CONCATENATE(A46,"_HTO-",B46)</f>
        <v>B7A_HTO-B</v>
      </c>
      <c r="D46" s="2">
        <v>763</v>
      </c>
      <c r="E46" s="2" t="s">
        <v>21</v>
      </c>
      <c r="F46" s="1">
        <v>69</v>
      </c>
      <c r="G46" s="1" t="s">
        <v>145</v>
      </c>
      <c r="H46" s="1" t="s">
        <v>26</v>
      </c>
      <c r="I46" s="3" t="s">
        <v>26</v>
      </c>
      <c r="J46" s="1" t="s">
        <v>105</v>
      </c>
      <c r="K46" s="1" t="s">
        <v>104</v>
      </c>
      <c r="L46" s="1" t="s">
        <v>102</v>
      </c>
      <c r="M46" s="1" t="s">
        <v>153</v>
      </c>
      <c r="N46" s="1" t="s">
        <v>152</v>
      </c>
      <c r="O46" s="1" t="str">
        <f>CONCATENATE(N46, "_", A46)</f>
        <v>Bladder763_B7A</v>
      </c>
    </row>
    <row r="47" spans="1:15" x14ac:dyDescent="0.25">
      <c r="A47" s="2" t="s">
        <v>44</v>
      </c>
      <c r="B47" s="2" t="s">
        <v>29</v>
      </c>
      <c r="C47" s="2" t="str">
        <f>CONCATENATE(A47,"_HTO-",B47)</f>
        <v>B7B_HTO-B</v>
      </c>
      <c r="D47" s="2">
        <v>763</v>
      </c>
      <c r="E47" s="2" t="s">
        <v>21</v>
      </c>
      <c r="F47" s="1">
        <v>69</v>
      </c>
      <c r="G47" s="1" t="s">
        <v>145</v>
      </c>
      <c r="H47" s="1" t="s">
        <v>26</v>
      </c>
      <c r="I47" s="3" t="s">
        <v>26</v>
      </c>
      <c r="J47" s="1" t="s">
        <v>105</v>
      </c>
      <c r="K47" s="1" t="s">
        <v>104</v>
      </c>
      <c r="L47" s="1" t="s">
        <v>102</v>
      </c>
      <c r="M47" s="1" t="s">
        <v>153</v>
      </c>
      <c r="N47" s="1" t="s">
        <v>152</v>
      </c>
      <c r="O47" s="1" t="str">
        <f>CONCATENATE(N47, "_", A47)</f>
        <v>Bladder763_B7B</v>
      </c>
    </row>
    <row r="48" spans="1:15" x14ac:dyDescent="0.25">
      <c r="A48" s="2" t="s">
        <v>58</v>
      </c>
      <c r="B48" s="2" t="s">
        <v>130</v>
      </c>
      <c r="C48" s="2" t="str">
        <f>CONCATENATE(A48,"_HTO-",B48)</f>
        <v>B6A_HTO-D</v>
      </c>
      <c r="D48" s="2">
        <v>824</v>
      </c>
      <c r="E48" s="2" t="s">
        <v>21</v>
      </c>
      <c r="F48" s="1">
        <v>67</v>
      </c>
      <c r="G48" s="1" t="s">
        <v>145</v>
      </c>
      <c r="H48" s="1" t="s">
        <v>26</v>
      </c>
      <c r="I48" s="3" t="s">
        <v>26</v>
      </c>
      <c r="J48" s="1" t="s">
        <v>105</v>
      </c>
      <c r="K48" s="1" t="s">
        <v>106</v>
      </c>
      <c r="L48" s="1" t="s">
        <v>18</v>
      </c>
      <c r="M48" s="1" t="s">
        <v>151</v>
      </c>
      <c r="N48" s="1" t="s">
        <v>150</v>
      </c>
      <c r="O48" s="1" t="str">
        <f>CONCATENATE(N48, "_", A48)</f>
        <v>Bladder824_B6A</v>
      </c>
    </row>
    <row r="49" spans="1:15" x14ac:dyDescent="0.25">
      <c r="A49" s="2" t="s">
        <v>52</v>
      </c>
      <c r="B49" s="2" t="s">
        <v>130</v>
      </c>
      <c r="C49" s="2" t="str">
        <f>CONCATENATE(A49,"_HTO-",B49)</f>
        <v>B6B_HTO-D</v>
      </c>
      <c r="D49" s="2">
        <v>824</v>
      </c>
      <c r="E49" s="2" t="s">
        <v>21</v>
      </c>
      <c r="F49" s="1">
        <v>67</v>
      </c>
      <c r="G49" s="1" t="s">
        <v>145</v>
      </c>
      <c r="H49" s="1" t="s">
        <v>26</v>
      </c>
      <c r="I49" s="3" t="s">
        <v>26</v>
      </c>
      <c r="J49" s="1" t="s">
        <v>105</v>
      </c>
      <c r="K49" s="1" t="s">
        <v>106</v>
      </c>
      <c r="L49" s="1" t="s">
        <v>18</v>
      </c>
      <c r="M49" s="1" t="s">
        <v>151</v>
      </c>
      <c r="N49" s="1" t="s">
        <v>150</v>
      </c>
      <c r="O49" s="1" t="str">
        <f>CONCATENATE(N49, "_", A49)</f>
        <v>Bladder824_B6B</v>
      </c>
    </row>
    <row r="50" spans="1:15" x14ac:dyDescent="0.25">
      <c r="A50" s="2" t="s">
        <v>50</v>
      </c>
      <c r="B50" s="2" t="s">
        <v>30</v>
      </c>
      <c r="C50" s="2" t="str">
        <f>CONCATENATE(A50,"_HTO-",B50)</f>
        <v>B7A_HTO-C</v>
      </c>
      <c r="D50" s="2">
        <v>913</v>
      </c>
      <c r="E50" s="2" t="s">
        <v>21</v>
      </c>
      <c r="F50" s="1">
        <v>78</v>
      </c>
      <c r="G50" s="1" t="s">
        <v>145</v>
      </c>
      <c r="H50" s="1" t="s">
        <v>26</v>
      </c>
      <c r="I50" s="3" t="s">
        <v>26</v>
      </c>
      <c r="J50" s="1" t="s">
        <v>105</v>
      </c>
      <c r="K50" s="1" t="s">
        <v>104</v>
      </c>
      <c r="L50" s="1" t="s">
        <v>102</v>
      </c>
      <c r="M50" s="1" t="s">
        <v>149</v>
      </c>
      <c r="N50" s="1" t="s">
        <v>148</v>
      </c>
      <c r="O50" s="1" t="str">
        <f>CONCATENATE(N50, "_", A50)</f>
        <v>Bladder913_B7A</v>
      </c>
    </row>
    <row r="51" spans="1:15" x14ac:dyDescent="0.25">
      <c r="A51" s="2" t="s">
        <v>44</v>
      </c>
      <c r="B51" s="2" t="s">
        <v>30</v>
      </c>
      <c r="C51" s="2" t="str">
        <f>CONCATENATE(A51,"_HTO-",B51)</f>
        <v>B7B_HTO-C</v>
      </c>
      <c r="D51" s="2">
        <v>913</v>
      </c>
      <c r="E51" s="2" t="s">
        <v>21</v>
      </c>
      <c r="F51" s="1">
        <v>78</v>
      </c>
      <c r="G51" s="1" t="s">
        <v>145</v>
      </c>
      <c r="H51" s="1" t="s">
        <v>26</v>
      </c>
      <c r="I51" s="3" t="s">
        <v>26</v>
      </c>
      <c r="J51" s="1" t="s">
        <v>105</v>
      </c>
      <c r="K51" s="1" t="s">
        <v>104</v>
      </c>
      <c r="L51" s="1" t="s">
        <v>102</v>
      </c>
      <c r="M51" s="1" t="s">
        <v>149</v>
      </c>
      <c r="N51" s="1" t="s">
        <v>148</v>
      </c>
      <c r="O51" s="1" t="str">
        <f>CONCATENATE(N51, "_", A51)</f>
        <v>Bladder913_B7B</v>
      </c>
    </row>
    <row r="52" spans="1:15" x14ac:dyDescent="0.25">
      <c r="A52" s="2" t="s">
        <v>50</v>
      </c>
      <c r="B52" s="2" t="s">
        <v>130</v>
      </c>
      <c r="C52" s="2" t="str">
        <f>CONCATENATE(A52,"_HTO-",B52)</f>
        <v>B7A_HTO-D</v>
      </c>
      <c r="D52" s="2">
        <v>1126</v>
      </c>
      <c r="E52" s="2" t="s">
        <v>21</v>
      </c>
      <c r="F52" s="1">
        <v>50</v>
      </c>
      <c r="G52" s="1" t="s">
        <v>145</v>
      </c>
      <c r="H52" s="1" t="s">
        <v>26</v>
      </c>
      <c r="I52" s="3" t="s">
        <v>26</v>
      </c>
      <c r="J52" s="1" t="s">
        <v>105</v>
      </c>
      <c r="K52" s="1" t="s">
        <v>104</v>
      </c>
      <c r="L52" s="1" t="s">
        <v>102</v>
      </c>
      <c r="M52" s="1" t="s">
        <v>147</v>
      </c>
      <c r="N52" s="1" t="s">
        <v>146</v>
      </c>
      <c r="O52" s="1" t="str">
        <f>CONCATENATE(N52, "_", A52)</f>
        <v>Bladder1126_B7A</v>
      </c>
    </row>
    <row r="53" spans="1:15" x14ac:dyDescent="0.25">
      <c r="A53" s="2" t="s">
        <v>44</v>
      </c>
      <c r="B53" s="2" t="s">
        <v>130</v>
      </c>
      <c r="C53" s="2" t="str">
        <f>CONCATENATE(A53,"_HTO-",B53)</f>
        <v>B7B_HTO-D</v>
      </c>
      <c r="D53" s="2">
        <v>1126</v>
      </c>
      <c r="E53" s="2" t="s">
        <v>21</v>
      </c>
      <c r="F53" s="1">
        <v>50</v>
      </c>
      <c r="G53" s="1" t="s">
        <v>145</v>
      </c>
      <c r="H53" s="1" t="s">
        <v>26</v>
      </c>
      <c r="I53" s="3" t="s">
        <v>26</v>
      </c>
      <c r="J53" s="1" t="s">
        <v>105</v>
      </c>
      <c r="K53" s="1" t="s">
        <v>104</v>
      </c>
      <c r="L53" s="1" t="s">
        <v>102</v>
      </c>
      <c r="M53" s="1" t="s">
        <v>147</v>
      </c>
      <c r="N53" s="1" t="s">
        <v>146</v>
      </c>
      <c r="O53" s="1" t="str">
        <f>CONCATENATE(N53, "_", A53)</f>
        <v>Bladder1126_B7B</v>
      </c>
    </row>
    <row r="54" spans="1:15" x14ac:dyDescent="0.25">
      <c r="A54" s="2" t="s">
        <v>50</v>
      </c>
      <c r="B54" s="2" t="s">
        <v>135</v>
      </c>
      <c r="C54" s="2" t="str">
        <f>CONCATENATE(A54,"_HTO-",B54)</f>
        <v>B7A_HTO-E</v>
      </c>
      <c r="D54" s="2">
        <v>1204</v>
      </c>
      <c r="E54" s="2" t="s">
        <v>21</v>
      </c>
      <c r="F54" s="1">
        <v>65</v>
      </c>
      <c r="G54" s="1" t="s">
        <v>145</v>
      </c>
      <c r="H54" s="1" t="s">
        <v>26</v>
      </c>
      <c r="I54" s="3" t="s">
        <v>26</v>
      </c>
      <c r="J54" s="1" t="s">
        <v>105</v>
      </c>
      <c r="K54" s="1" t="s">
        <v>104</v>
      </c>
      <c r="L54" s="1" t="s">
        <v>102</v>
      </c>
      <c r="M54" s="1" t="s">
        <v>144</v>
      </c>
      <c r="N54" s="1" t="s">
        <v>143</v>
      </c>
      <c r="O54" s="1" t="str">
        <f>CONCATENATE(N54, "_", A54)</f>
        <v>Bladder1204_B7A</v>
      </c>
    </row>
    <row r="55" spans="1:15" x14ac:dyDescent="0.25">
      <c r="A55" s="2" t="s">
        <v>44</v>
      </c>
      <c r="B55" s="2" t="s">
        <v>135</v>
      </c>
      <c r="C55" s="2" t="str">
        <f>CONCATENATE(A55,"_HTO-",B55)</f>
        <v>B7B_HTO-E</v>
      </c>
      <c r="D55" s="2">
        <v>1204</v>
      </c>
      <c r="E55" s="2" t="s">
        <v>21</v>
      </c>
      <c r="F55" s="1">
        <v>65</v>
      </c>
      <c r="G55" s="1" t="s">
        <v>145</v>
      </c>
      <c r="H55" s="1" t="s">
        <v>26</v>
      </c>
      <c r="I55" s="3" t="s">
        <v>26</v>
      </c>
      <c r="J55" s="1" t="s">
        <v>105</v>
      </c>
      <c r="K55" s="1" t="s">
        <v>104</v>
      </c>
      <c r="L55" s="1" t="s">
        <v>102</v>
      </c>
      <c r="M55" s="1" t="s">
        <v>144</v>
      </c>
      <c r="N55" s="1" t="s">
        <v>143</v>
      </c>
      <c r="O55" s="1" t="str">
        <f>CONCATENATE(N55, "_", A55)</f>
        <v>Bladder1204_B7B</v>
      </c>
    </row>
    <row r="56" spans="1:15" x14ac:dyDescent="0.25">
      <c r="A56" s="2" t="s">
        <v>96</v>
      </c>
      <c r="B56" s="2" t="s">
        <v>28</v>
      </c>
      <c r="C56" s="2" t="str">
        <f>CONCATENATE(A56,"_HTO-",B56)</f>
        <v>B0_HTO-A</v>
      </c>
      <c r="D56" s="2">
        <v>1246</v>
      </c>
      <c r="E56" s="2" t="s">
        <v>21</v>
      </c>
      <c r="F56" s="1">
        <v>77</v>
      </c>
      <c r="G56" s="1" t="s">
        <v>142</v>
      </c>
      <c r="H56" s="1" t="s">
        <v>26</v>
      </c>
      <c r="I56" s="3" t="s">
        <v>26</v>
      </c>
      <c r="J56" s="1" t="s">
        <v>105</v>
      </c>
      <c r="K56" s="1" t="s">
        <v>104</v>
      </c>
      <c r="L56" s="1" t="s">
        <v>102</v>
      </c>
      <c r="M56" s="1" t="s">
        <v>141</v>
      </c>
      <c r="N56" s="1" t="s">
        <v>140</v>
      </c>
      <c r="O56" s="1" t="str">
        <f>CONCATENATE(N56, "_", A56)</f>
        <v>Bladder1246_B0</v>
      </c>
    </row>
    <row r="57" spans="1:15" x14ac:dyDescent="0.25">
      <c r="A57" s="2" t="s">
        <v>96</v>
      </c>
      <c r="B57" s="2" t="s">
        <v>29</v>
      </c>
      <c r="C57" s="2" t="str">
        <f>CONCATENATE(A57,"_HTO-",B57)</f>
        <v>B0_HTO-B</v>
      </c>
      <c r="D57" s="2">
        <v>1246</v>
      </c>
      <c r="E57" s="2" t="s">
        <v>21</v>
      </c>
      <c r="F57" s="1">
        <v>77</v>
      </c>
      <c r="G57" s="1" t="s">
        <v>142</v>
      </c>
      <c r="H57" s="1" t="s">
        <v>26</v>
      </c>
      <c r="I57" s="3" t="s">
        <v>26</v>
      </c>
      <c r="J57" s="1" t="s">
        <v>105</v>
      </c>
      <c r="K57" s="1" t="s">
        <v>104</v>
      </c>
      <c r="L57" s="1" t="s">
        <v>102</v>
      </c>
      <c r="M57" s="1" t="s">
        <v>141</v>
      </c>
      <c r="N57" s="1" t="s">
        <v>140</v>
      </c>
      <c r="O57" s="1" t="str">
        <f>CONCATENATE(N57, "_", A57)</f>
        <v>Bladder1246_B0</v>
      </c>
    </row>
    <row r="58" spans="1:15" x14ac:dyDescent="0.25">
      <c r="A58" s="2" t="s">
        <v>96</v>
      </c>
      <c r="B58" s="2" t="s">
        <v>30</v>
      </c>
      <c r="C58" s="2" t="str">
        <f>CONCATENATE(A58,"_HTO-",B58)</f>
        <v>B0_HTO-C</v>
      </c>
      <c r="D58" s="2">
        <v>1246</v>
      </c>
      <c r="E58" s="2" t="s">
        <v>21</v>
      </c>
      <c r="F58" s="1">
        <v>77</v>
      </c>
      <c r="G58" s="1" t="s">
        <v>142</v>
      </c>
      <c r="H58" s="1" t="s">
        <v>26</v>
      </c>
      <c r="I58" s="3" t="s">
        <v>26</v>
      </c>
      <c r="J58" s="1" t="s">
        <v>105</v>
      </c>
      <c r="K58" s="1" t="s">
        <v>104</v>
      </c>
      <c r="L58" s="1" t="s">
        <v>102</v>
      </c>
      <c r="M58" s="1" t="s">
        <v>141</v>
      </c>
      <c r="N58" s="1" t="s">
        <v>140</v>
      </c>
      <c r="O58" s="1" t="str">
        <f>CONCATENATE(N58, "_", A58)</f>
        <v>Bladder1246_B0</v>
      </c>
    </row>
    <row r="59" spans="1:15" x14ac:dyDescent="0.25">
      <c r="A59" s="5" t="s">
        <v>75</v>
      </c>
      <c r="B59" s="5" t="s">
        <v>28</v>
      </c>
      <c r="C59" s="2" t="str">
        <f>CONCATENATE(A59,"_HTO-",B59)</f>
        <v>B3_HTO-A</v>
      </c>
      <c r="D59" s="5">
        <v>831</v>
      </c>
      <c r="E59" s="2" t="s">
        <v>21</v>
      </c>
      <c r="N59" s="1" t="s">
        <v>139</v>
      </c>
      <c r="O59" s="1" t="str">
        <f>CONCATENATE(N59, "_", A59)</f>
        <v>Bladder831_B3</v>
      </c>
    </row>
    <row r="60" spans="1:15" x14ac:dyDescent="0.25">
      <c r="A60" s="5" t="s">
        <v>75</v>
      </c>
      <c r="B60" s="5" t="s">
        <v>29</v>
      </c>
      <c r="C60" s="2" t="str">
        <f>CONCATENATE(A60,"_HTO-",B60)</f>
        <v>B3_HTO-B</v>
      </c>
      <c r="D60" s="5">
        <v>831</v>
      </c>
      <c r="E60" s="2" t="s">
        <v>21</v>
      </c>
      <c r="N60" s="1" t="s">
        <v>139</v>
      </c>
      <c r="O60" s="1" t="str">
        <f>CONCATENATE(N60, "_", A60)</f>
        <v>Bladder831_B3</v>
      </c>
    </row>
    <row r="61" spans="1:15" x14ac:dyDescent="0.25">
      <c r="A61" s="5" t="s">
        <v>75</v>
      </c>
      <c r="B61" s="5" t="s">
        <v>30</v>
      </c>
      <c r="C61" s="2" t="str">
        <f>CONCATENATE(A61,"_HTO-",B61)</f>
        <v>B3_HTO-C</v>
      </c>
      <c r="D61" s="5">
        <v>831</v>
      </c>
      <c r="E61" s="2" t="s">
        <v>21</v>
      </c>
      <c r="N61" s="1" t="s">
        <v>139</v>
      </c>
      <c r="O61" s="1" t="str">
        <f>CONCATENATE(N61, "_", A61)</f>
        <v>Bladder831_B3</v>
      </c>
    </row>
    <row r="62" spans="1:15" x14ac:dyDescent="0.25">
      <c r="A62" s="5" t="s">
        <v>75</v>
      </c>
      <c r="B62" s="5" t="s">
        <v>130</v>
      </c>
      <c r="C62" s="2" t="str">
        <f>CONCATENATE(A62,"_HTO-",B62)</f>
        <v>B3_HTO-D</v>
      </c>
      <c r="D62" s="5">
        <v>844</v>
      </c>
      <c r="E62" s="2" t="s">
        <v>21</v>
      </c>
      <c r="N62" s="1" t="s">
        <v>138</v>
      </c>
      <c r="O62" s="1" t="str">
        <f>CONCATENATE(N62, "_", A62)</f>
        <v>Bladder844_B3</v>
      </c>
    </row>
    <row r="63" spans="1:15" x14ac:dyDescent="0.25">
      <c r="A63" s="5" t="s">
        <v>75</v>
      </c>
      <c r="B63" s="5" t="s">
        <v>135</v>
      </c>
      <c r="C63" s="2" t="str">
        <f>CONCATENATE(A63,"_HTO-",B63)</f>
        <v>B3_HTO-E</v>
      </c>
      <c r="D63" s="5">
        <v>844</v>
      </c>
      <c r="E63" s="2" t="s">
        <v>21</v>
      </c>
      <c r="N63" s="1" t="s">
        <v>138</v>
      </c>
      <c r="O63" s="1" t="str">
        <f>CONCATENATE(N63, "_", A63)</f>
        <v>Bladder844_B3</v>
      </c>
    </row>
    <row r="64" spans="1:15" x14ac:dyDescent="0.25">
      <c r="A64" s="5" t="s">
        <v>75</v>
      </c>
      <c r="B64" s="5" t="s">
        <v>133</v>
      </c>
      <c r="C64" s="2" t="str">
        <f>CONCATENATE(A64,"_HTO-",B64)</f>
        <v>B3_HTO-F</v>
      </c>
      <c r="D64" s="5">
        <v>844</v>
      </c>
      <c r="E64" s="2" t="s">
        <v>21</v>
      </c>
      <c r="N64" s="1" t="s">
        <v>138</v>
      </c>
      <c r="O64" s="1" t="str">
        <f>CONCATENATE(N64, "_", A64)</f>
        <v>Bladder844_B3</v>
      </c>
    </row>
    <row r="65" spans="1:15" x14ac:dyDescent="0.25">
      <c r="A65" s="5" t="s">
        <v>66</v>
      </c>
      <c r="B65" s="5" t="s">
        <v>28</v>
      </c>
      <c r="C65" s="2" t="str">
        <f>CONCATENATE(A65,"_HTO-",B65)</f>
        <v>B5A_HTO-A</v>
      </c>
      <c r="D65" s="5">
        <v>914</v>
      </c>
      <c r="E65" s="2" t="s">
        <v>21</v>
      </c>
      <c r="N65" s="1" t="s">
        <v>137</v>
      </c>
      <c r="O65" s="1" t="str">
        <f>CONCATENATE(N65, "_", A65)</f>
        <v>Bladder914_B5A</v>
      </c>
    </row>
    <row r="66" spans="1:15" x14ac:dyDescent="0.25">
      <c r="A66" s="5" t="s">
        <v>60</v>
      </c>
      <c r="B66" s="5" t="s">
        <v>28</v>
      </c>
      <c r="C66" s="2" t="str">
        <f>CONCATENATE(A66,"_HTO-",B66)</f>
        <v>B5B_HTO-A</v>
      </c>
      <c r="D66" s="5">
        <v>914</v>
      </c>
      <c r="E66" s="2" t="s">
        <v>21</v>
      </c>
      <c r="N66" s="1" t="s">
        <v>137</v>
      </c>
      <c r="O66" s="1" t="str">
        <f>CONCATENATE(N66, "_", A66)</f>
        <v>Bladder914_B5B</v>
      </c>
    </row>
    <row r="67" spans="1:15" x14ac:dyDescent="0.25">
      <c r="A67" s="5" t="s">
        <v>66</v>
      </c>
      <c r="B67" s="5" t="s">
        <v>29</v>
      </c>
      <c r="C67" s="2" t="str">
        <f>CONCATENATE(A67,"_HTO-",B67)</f>
        <v>B5A_HTO-B</v>
      </c>
      <c r="D67" s="5">
        <v>994</v>
      </c>
      <c r="E67" s="2" t="s">
        <v>21</v>
      </c>
      <c r="N67" s="1" t="s">
        <v>136</v>
      </c>
      <c r="O67" s="1" t="str">
        <f>CONCATENATE(N67, "_", A67)</f>
        <v>Bladder994_B5A</v>
      </c>
    </row>
    <row r="68" spans="1:15" x14ac:dyDescent="0.25">
      <c r="A68" s="5" t="s">
        <v>60</v>
      </c>
      <c r="B68" s="5" t="s">
        <v>29</v>
      </c>
      <c r="C68" s="2" t="str">
        <f>CONCATENATE(A68,"_HTO-",B68)</f>
        <v>B5B_HTO-B</v>
      </c>
      <c r="D68" s="5">
        <v>994</v>
      </c>
      <c r="E68" s="2" t="s">
        <v>21</v>
      </c>
      <c r="N68" s="1" t="s">
        <v>136</v>
      </c>
      <c r="O68" s="1" t="str">
        <f>CONCATENATE(N68, "_", A68)</f>
        <v>Bladder994_B5B</v>
      </c>
    </row>
    <row r="69" spans="1:15" x14ac:dyDescent="0.25">
      <c r="A69" s="5" t="s">
        <v>66</v>
      </c>
      <c r="B69" s="5" t="s">
        <v>135</v>
      </c>
      <c r="C69" s="2" t="str">
        <f>CONCATENATE(A69,"_HTO-",B69)</f>
        <v>B5A_HTO-E</v>
      </c>
      <c r="D69" s="5">
        <v>1192</v>
      </c>
      <c r="E69" s="2" t="s">
        <v>21</v>
      </c>
      <c r="N69" s="1" t="s">
        <v>134</v>
      </c>
      <c r="O69" s="1" t="str">
        <f>CONCATENATE(N69, "_", A69)</f>
        <v>Bladder1192_B5A</v>
      </c>
    </row>
    <row r="70" spans="1:15" x14ac:dyDescent="0.25">
      <c r="A70" s="5" t="s">
        <v>60</v>
      </c>
      <c r="B70" s="5" t="s">
        <v>135</v>
      </c>
      <c r="C70" s="2" t="str">
        <f>CONCATENATE(A70,"_HTO-",B70)</f>
        <v>B5B_HTO-E</v>
      </c>
      <c r="D70" s="5">
        <v>1192</v>
      </c>
      <c r="E70" s="2" t="s">
        <v>21</v>
      </c>
      <c r="N70" s="1" t="s">
        <v>134</v>
      </c>
      <c r="O70" s="1" t="str">
        <f>CONCATENATE(N70, "_", A70)</f>
        <v>Bladder1192_B5B</v>
      </c>
    </row>
    <row r="71" spans="1:15" x14ac:dyDescent="0.25">
      <c r="A71" s="5" t="s">
        <v>66</v>
      </c>
      <c r="B71" s="5" t="s">
        <v>133</v>
      </c>
      <c r="C71" s="2" t="str">
        <f>CONCATENATE(A71,"_HTO-",B71)</f>
        <v>B5A_HTO-F</v>
      </c>
      <c r="D71" s="5">
        <v>1217</v>
      </c>
      <c r="E71" s="2" t="s">
        <v>21</v>
      </c>
      <c r="N71" s="1" t="s">
        <v>132</v>
      </c>
      <c r="O71" s="1" t="str">
        <f>CONCATENATE(N71, "_", A71)</f>
        <v>Bladder1217_B5A</v>
      </c>
    </row>
    <row r="72" spans="1:15" x14ac:dyDescent="0.25">
      <c r="A72" s="5" t="s">
        <v>60</v>
      </c>
      <c r="B72" s="5" t="s">
        <v>133</v>
      </c>
      <c r="C72" s="2" t="str">
        <f>CONCATENATE(A72,"_HTO-",B72)</f>
        <v>B5B_HTO-F</v>
      </c>
      <c r="D72" s="5">
        <v>1217</v>
      </c>
      <c r="E72" s="2" t="s">
        <v>21</v>
      </c>
      <c r="N72" s="1" t="s">
        <v>132</v>
      </c>
      <c r="O72" s="1" t="str">
        <f>CONCATENATE(N72, "_", A72)</f>
        <v>Bladder1217_B5B</v>
      </c>
    </row>
    <row r="73" spans="1:15" x14ac:dyDescent="0.25">
      <c r="A73" s="5" t="s">
        <v>66</v>
      </c>
      <c r="B73" s="5" t="s">
        <v>30</v>
      </c>
      <c r="C73" s="2" t="str">
        <f>CONCATENATE(A73,"_HTO-",B73)</f>
        <v>B5A_HTO-C</v>
      </c>
      <c r="D73" s="5">
        <v>1245</v>
      </c>
      <c r="E73" s="2" t="s">
        <v>21</v>
      </c>
      <c r="N73" s="1" t="s">
        <v>131</v>
      </c>
      <c r="O73" s="1" t="str">
        <f>CONCATENATE(N73, "_", A73)</f>
        <v>Bladder1245_B5A</v>
      </c>
    </row>
    <row r="74" spans="1:15" x14ac:dyDescent="0.25">
      <c r="A74" s="5" t="s">
        <v>60</v>
      </c>
      <c r="B74" s="5" t="s">
        <v>30</v>
      </c>
      <c r="C74" s="2" t="str">
        <f>CONCATENATE(A74,"_HTO-",B74)</f>
        <v>B5B_HTO-C</v>
      </c>
      <c r="D74" s="5">
        <v>1245</v>
      </c>
      <c r="E74" s="2" t="s">
        <v>21</v>
      </c>
      <c r="N74" s="1" t="s">
        <v>131</v>
      </c>
      <c r="O74" s="1" t="str">
        <f>CONCATENATE(N74, "_", A74)</f>
        <v>Bladder1245_B5B</v>
      </c>
    </row>
    <row r="75" spans="1:15" x14ac:dyDescent="0.25">
      <c r="A75" s="5" t="s">
        <v>66</v>
      </c>
      <c r="B75" s="5" t="s">
        <v>130</v>
      </c>
      <c r="C75" s="2" t="str">
        <f>CONCATENATE(A75,"_HTO-",B75)</f>
        <v>B5A_HTO-D</v>
      </c>
      <c r="D75" s="5">
        <v>1250</v>
      </c>
      <c r="E75" s="2" t="s">
        <v>21</v>
      </c>
      <c r="N75" s="1" t="s">
        <v>129</v>
      </c>
      <c r="O75" s="1" t="str">
        <f>CONCATENATE(N75, "_", A75)</f>
        <v>Bladder1250_B5A</v>
      </c>
    </row>
    <row r="76" spans="1:15" x14ac:dyDescent="0.25">
      <c r="A76" s="5" t="s">
        <v>60</v>
      </c>
      <c r="B76" s="5" t="s">
        <v>130</v>
      </c>
      <c r="C76" s="2" t="str">
        <f>CONCATENATE(A76,"_HTO-",B76)</f>
        <v>B5B_HTO-D</v>
      </c>
      <c r="D76" s="5">
        <v>1250</v>
      </c>
      <c r="E76" s="2" t="s">
        <v>21</v>
      </c>
      <c r="N76" s="1" t="s">
        <v>129</v>
      </c>
      <c r="O76" s="1" t="str">
        <f>CONCATENATE(N76, "_", A76)</f>
        <v>Bladder1250_B5B</v>
      </c>
    </row>
    <row r="77" spans="1:15" x14ac:dyDescent="0.25">
      <c r="A77" s="2" t="s">
        <v>127</v>
      </c>
      <c r="C77" s="4" t="s">
        <v>128</v>
      </c>
      <c r="D77" s="2" t="s">
        <v>127</v>
      </c>
      <c r="E77" s="2" t="s">
        <v>22</v>
      </c>
      <c r="N77" s="1" t="s">
        <v>126</v>
      </c>
      <c r="O77" s="1" t="str">
        <f>CONCATENATE(N77, "_", A77)</f>
        <v>BladdernormalA_normalA</v>
      </c>
    </row>
    <row r="78" spans="1:15" x14ac:dyDescent="0.25">
      <c r="A78" s="2" t="s">
        <v>124</v>
      </c>
      <c r="C78" s="4" t="s">
        <v>125</v>
      </c>
      <c r="D78" s="2" t="s">
        <v>124</v>
      </c>
      <c r="E78" s="2" t="s">
        <v>22</v>
      </c>
      <c r="N78" s="1" t="s">
        <v>123</v>
      </c>
      <c r="O78" s="1" t="str">
        <f>CONCATENATE(N78, "_", A78)</f>
        <v>BladdernormalB_normalB</v>
      </c>
    </row>
    <row r="79" spans="1:15" x14ac:dyDescent="0.25">
      <c r="A79" s="2" t="s">
        <v>121</v>
      </c>
      <c r="C79" s="4" t="s">
        <v>122</v>
      </c>
      <c r="D79" s="2" t="s">
        <v>121</v>
      </c>
      <c r="E79" s="2" t="s">
        <v>22</v>
      </c>
      <c r="N79" s="1" t="s">
        <v>120</v>
      </c>
      <c r="O79" s="1" t="str">
        <f>CONCATENATE(N79, "_", A79)</f>
        <v>BladdernormalC_normalC</v>
      </c>
    </row>
    <row r="80" spans="1:15" x14ac:dyDescent="0.25">
      <c r="A80" s="2" t="s">
        <v>118</v>
      </c>
      <c r="C80" s="4" t="s">
        <v>119</v>
      </c>
      <c r="D80" s="2" t="s">
        <v>118</v>
      </c>
      <c r="E80" s="2" t="s">
        <v>22</v>
      </c>
      <c r="N80" s="1" t="s">
        <v>117</v>
      </c>
      <c r="O80" s="1" t="str">
        <f>CONCATENATE(N80, "_", A80)</f>
        <v>BladdernormalD_normalD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HTO_demultiplexing_table</vt:lpstr>
      <vt:lpstr>Supplementary Table 1</vt:lpstr>
      <vt:lpstr>old_metadata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Kailasam Mani, Saravana Kumar</dc:creator>
  <cp:lastModifiedBy>Kailasam Mani, Saravana Kumar</cp:lastModifiedBy>
  <dcterms:created xsi:type="dcterms:W3CDTF">2015-06-05T18:17:20Z</dcterms:created>
  <dcterms:modified xsi:type="dcterms:W3CDTF">2024-08-13T19:45:17Z</dcterms:modified>
</cp:coreProperties>
</file>