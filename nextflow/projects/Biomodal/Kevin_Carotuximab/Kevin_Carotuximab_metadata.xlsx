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Biomodal\Kevin_Carotuximab\734412065\"/>
    </mc:Choice>
  </mc:AlternateContent>
  <xr:revisionPtr revIDLastSave="0" documentId="13_ncr:1_{388284CD-8E01-43B3-8094-9EF467D6BF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Sheet1!$B$1:$U$25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P4" i="1"/>
  <c r="L4" i="1"/>
  <c r="P21" i="1"/>
  <c r="L21" i="1"/>
  <c r="P25" i="1"/>
  <c r="L25" i="1"/>
  <c r="P20" i="1"/>
  <c r="L20" i="1"/>
  <c r="P24" i="1"/>
  <c r="L24" i="1"/>
  <c r="P11" i="1"/>
  <c r="L11" i="1"/>
  <c r="P15" i="1"/>
  <c r="L15" i="1"/>
  <c r="P19" i="1"/>
  <c r="L19" i="1"/>
  <c r="P18" i="1"/>
  <c r="L18" i="1"/>
  <c r="P23" i="1"/>
  <c r="L23" i="1"/>
  <c r="P10" i="1"/>
  <c r="L10" i="1"/>
  <c r="P14" i="1"/>
  <c r="L14" i="1"/>
  <c r="P9" i="1"/>
  <c r="L9" i="1"/>
  <c r="P8" i="1"/>
  <c r="L8" i="1"/>
  <c r="P13" i="1"/>
  <c r="L13" i="1"/>
  <c r="P3" i="1"/>
  <c r="L3" i="1"/>
  <c r="P6" i="1"/>
  <c r="L6" i="1"/>
  <c r="P7" i="1"/>
  <c r="L7" i="1"/>
  <c r="P12" i="1"/>
  <c r="L12" i="1"/>
  <c r="P2" i="1"/>
  <c r="L2" i="1"/>
  <c r="P5" i="1"/>
  <c r="L5" i="1"/>
  <c r="P17" i="1"/>
  <c r="L17" i="1"/>
  <c r="P16" i="1"/>
  <c r="L16" i="1"/>
  <c r="P22" i="1"/>
  <c r="L22" i="1"/>
</calcChain>
</file>

<file path=xl/sharedStrings.xml><?xml version="1.0" encoding="utf-8"?>
<sst xmlns="http://schemas.openxmlformats.org/spreadsheetml/2006/main" count="274" uniqueCount="72">
  <si>
    <t>FileName_ID</t>
  </si>
  <si>
    <t>Sample_ID</t>
  </si>
  <si>
    <t>Patient_ID</t>
  </si>
  <si>
    <t>Cycle</t>
  </si>
  <si>
    <t>SampleType</t>
  </si>
  <si>
    <t>Condition</t>
  </si>
  <si>
    <t>C1D1</t>
  </si>
  <si>
    <t>Date of progression</t>
  </si>
  <si>
    <t>Time to Progression (weeks)</t>
  </si>
  <si>
    <t>reason for progression</t>
  </si>
  <si>
    <t>Baseline PSA</t>
  </si>
  <si>
    <t>Best PSA</t>
  </si>
  <si>
    <t>% change</t>
  </si>
  <si>
    <t>8 week response</t>
  </si>
  <si>
    <t>16 week response</t>
  </si>
  <si>
    <t>24 week response</t>
  </si>
  <si>
    <t>Pre APA-105 treatment</t>
  </si>
  <si>
    <t>comments</t>
  </si>
  <si>
    <t>361C1</t>
  </si>
  <si>
    <t>C1</t>
  </si>
  <si>
    <t>cfDNA</t>
  </si>
  <si>
    <t>Pre</t>
  </si>
  <si>
    <t>clinical</t>
  </si>
  <si>
    <t>SD</t>
  </si>
  <si>
    <t>Abiraterone</t>
  </si>
  <si>
    <t>361C2</t>
  </si>
  <si>
    <t>C2</t>
  </si>
  <si>
    <t>361C3</t>
  </si>
  <si>
    <t>C3</t>
  </si>
  <si>
    <t>663C1</t>
  </si>
  <si>
    <t>unrelated event/ stroke</t>
  </si>
  <si>
    <t>Enzalutamide, Lu-PSMA</t>
  </si>
  <si>
    <t>Exclude</t>
  </si>
  <si>
    <t>663EOT</t>
  </si>
  <si>
    <t>EOT</t>
  </si>
  <si>
    <t>676C1</t>
  </si>
  <si>
    <t>PD- bone scan</t>
  </si>
  <si>
    <t>Enzalutamide</t>
  </si>
  <si>
    <t>676C2</t>
  </si>
  <si>
    <t>657C1</t>
  </si>
  <si>
    <t>bone scan PD (error)</t>
  </si>
  <si>
    <t>PD1</t>
  </si>
  <si>
    <t>PD2</t>
  </si>
  <si>
    <t>Enzalutamide, Abiraterone</t>
  </si>
  <si>
    <t>657EOT</t>
  </si>
  <si>
    <t>700C1</t>
  </si>
  <si>
    <t>700C2</t>
  </si>
  <si>
    <t>Post</t>
  </si>
  <si>
    <t>700C3</t>
  </si>
  <si>
    <t>704C1</t>
  </si>
  <si>
    <t>Abiraterone, Enzalutamide</t>
  </si>
  <si>
    <t>704C2</t>
  </si>
  <si>
    <t>692C1</t>
  </si>
  <si>
    <t>Withdrew consent 4/27/26</t>
  </si>
  <si>
    <t>692C2</t>
  </si>
  <si>
    <t>692C3</t>
  </si>
  <si>
    <t>283C1</t>
  </si>
  <si>
    <t>283C2</t>
  </si>
  <si>
    <t>772C1</t>
  </si>
  <si>
    <t>clinical progression- back pain upper T-spine</t>
  </si>
  <si>
    <t>772C2</t>
  </si>
  <si>
    <t>557C1</t>
  </si>
  <si>
    <t>Enzalutamide, Darolutamide, Lu-PSMA</t>
  </si>
  <si>
    <t>557C2</t>
  </si>
  <si>
    <t>557C3</t>
  </si>
  <si>
    <t>Duration</t>
  </si>
  <si>
    <t>Long</t>
  </si>
  <si>
    <t>Short</t>
  </si>
  <si>
    <t>sample_id</t>
  </si>
  <si>
    <t>Low read resolution (56%)</t>
  </si>
  <si>
    <t>Error in patient handling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</si>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</sst>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9" fontId="3" fillId="0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zoomScale="80" zoomScaleNormal="80" workbookViewId="0">
      <selection activeCell="I4" sqref="I4"/>
    </sheetView>
  </sheetViews>
  <sheetFormatPr defaultRowHeight="15" x14ac:dyDescent="0.25"/>
  <cols>
    <col min="1" max="1" width="10.85546875" style="11" bestFit="1" customWidth="1"/>
    <col min="2" max="2" width="12.85546875" style="11" bestFit="1" customWidth="1"/>
    <col min="3" max="3" width="10.85546875" style="11" bestFit="1" customWidth="1"/>
    <col min="4" max="4" width="10.5703125" style="11" bestFit="1" customWidth="1"/>
    <col min="5" max="5" width="5.85546875" style="11" bestFit="1" customWidth="1"/>
    <col min="6" max="6" width="12.140625" style="11" bestFit="1" customWidth="1"/>
    <col min="7" max="7" width="9.7109375" style="11" bestFit="1" customWidth="1"/>
    <col min="8" max="8" width="8.85546875" style="11" bestFit="1" customWidth="1"/>
    <col min="9" max="9" width="13.7109375" style="11" bestFit="1" customWidth="1"/>
    <col min="10" max="10" width="11.5703125" style="11" bestFit="1" customWidth="1"/>
    <col min="11" max="11" width="18.85546875" style="11" bestFit="1" customWidth="1"/>
    <col min="12" max="12" width="27" style="11" bestFit="1" customWidth="1"/>
    <col min="13" max="13" width="27.140625" style="11" bestFit="1" customWidth="1"/>
    <col min="14" max="14" width="12.7109375" style="11" bestFit="1" customWidth="1"/>
    <col min="15" max="15" width="9.140625" style="11" bestFit="1" customWidth="1"/>
    <col min="16" max="16" width="9.5703125" style="11" bestFit="1" customWidth="1"/>
    <col min="17" max="17" width="16.28515625" style="11" bestFit="1" customWidth="1"/>
    <col min="18" max="19" width="17.28515625" style="11" bestFit="1" customWidth="1"/>
    <col min="20" max="20" width="39.42578125" style="11" bestFit="1" customWidth="1"/>
    <col min="21" max="21" width="46.7109375" style="11" bestFit="1" customWidth="1"/>
    <col min="22" max="16384" width="9.140625" style="11"/>
  </cols>
  <sheetData>
    <row r="1" spans="1:21" x14ac:dyDescent="0.25">
      <c r="A1" s="12" t="s">
        <v>68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65</v>
      </c>
      <c r="I1" s="12" t="s">
        <v>71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</row>
    <row r="2" spans="1:21" x14ac:dyDescent="0.25">
      <c r="A2" s="2" t="s">
        <v>33</v>
      </c>
      <c r="B2" s="1">
        <v>5</v>
      </c>
      <c r="C2" s="2" t="s">
        <v>33</v>
      </c>
      <c r="D2" s="1">
        <v>663</v>
      </c>
      <c r="E2" s="1" t="s">
        <v>34</v>
      </c>
      <c r="F2" s="1" t="s">
        <v>20</v>
      </c>
      <c r="G2" s="1" t="s">
        <v>47</v>
      </c>
      <c r="H2" s="1" t="s">
        <v>32</v>
      </c>
      <c r="I2" s="1" t="str">
        <f>_xlfn.CONCAT(H2,"_",G2)</f>
        <v>Exclude_Post</v>
      </c>
      <c r="J2" s="3">
        <v>45321</v>
      </c>
      <c r="K2" s="3"/>
      <c r="L2" s="7">
        <f t="shared" ref="L2:L25" si="0">(K2-J2)/7</f>
        <v>-6474.4285714285716</v>
      </c>
      <c r="M2" s="3" t="s">
        <v>30</v>
      </c>
      <c r="N2" s="4">
        <v>278.55</v>
      </c>
      <c r="O2" s="4">
        <v>355.18</v>
      </c>
      <c r="P2" s="9">
        <f t="shared" ref="P2:P25" si="1">(O2-N2)/N2</f>
        <v>0.27510321306767183</v>
      </c>
      <c r="Q2" s="5"/>
      <c r="R2" s="5"/>
      <c r="S2" s="5"/>
      <c r="T2" s="5" t="s">
        <v>31</v>
      </c>
      <c r="U2" s="15" t="s">
        <v>70</v>
      </c>
    </row>
    <row r="3" spans="1:21" x14ac:dyDescent="0.25">
      <c r="A3" s="2" t="s">
        <v>44</v>
      </c>
      <c r="B3" s="1">
        <v>9</v>
      </c>
      <c r="C3" s="2" t="s">
        <v>44</v>
      </c>
      <c r="D3" s="1">
        <v>657</v>
      </c>
      <c r="E3" s="1" t="s">
        <v>34</v>
      </c>
      <c r="F3" s="1" t="s">
        <v>20</v>
      </c>
      <c r="G3" s="1" t="s">
        <v>47</v>
      </c>
      <c r="H3" s="1" t="s">
        <v>32</v>
      </c>
      <c r="I3" s="1" t="str">
        <f t="shared" ref="I3:I25" si="2">_xlfn.CONCAT(H3,"_",G3)</f>
        <v>Exclude_Post</v>
      </c>
      <c r="J3" s="3">
        <v>45369</v>
      </c>
      <c r="K3" s="3"/>
      <c r="L3" s="7">
        <f t="shared" si="0"/>
        <v>-6481.2857142857147</v>
      </c>
      <c r="M3" s="3" t="s">
        <v>40</v>
      </c>
      <c r="N3" s="4">
        <v>59.03</v>
      </c>
      <c r="O3" s="4">
        <v>46.43</v>
      </c>
      <c r="P3" s="9">
        <f t="shared" si="1"/>
        <v>-0.21345078773505</v>
      </c>
      <c r="Q3" s="5" t="s">
        <v>41</v>
      </c>
      <c r="R3" s="5" t="s">
        <v>42</v>
      </c>
      <c r="S3" s="5"/>
      <c r="T3" s="5" t="s">
        <v>43</v>
      </c>
      <c r="U3" s="15" t="s">
        <v>70</v>
      </c>
    </row>
    <row r="4" spans="1:21" x14ac:dyDescent="0.25">
      <c r="A4" s="17" t="s">
        <v>64</v>
      </c>
      <c r="B4" s="1">
        <v>24</v>
      </c>
      <c r="C4" s="2" t="s">
        <v>64</v>
      </c>
      <c r="D4" s="1">
        <v>557</v>
      </c>
      <c r="E4" s="1" t="s">
        <v>28</v>
      </c>
      <c r="F4" s="1" t="s">
        <v>20</v>
      </c>
      <c r="G4" s="1" t="s">
        <v>47</v>
      </c>
      <c r="H4" s="1" t="s">
        <v>32</v>
      </c>
      <c r="I4" s="1" t="str">
        <f t="shared" si="2"/>
        <v>Exclude_Post</v>
      </c>
      <c r="J4" s="3">
        <v>45768</v>
      </c>
      <c r="K4" s="3">
        <v>46020</v>
      </c>
      <c r="L4" s="7">
        <f t="shared" si="0"/>
        <v>36</v>
      </c>
      <c r="M4" s="3" t="s">
        <v>22</v>
      </c>
      <c r="N4" s="4">
        <v>0.82</v>
      </c>
      <c r="O4" s="4">
        <v>0.41</v>
      </c>
      <c r="P4" s="9">
        <f t="shared" si="1"/>
        <v>-0.5</v>
      </c>
      <c r="Q4" s="5" t="s">
        <v>23</v>
      </c>
      <c r="R4" s="5" t="s">
        <v>23</v>
      </c>
      <c r="S4" s="5" t="s">
        <v>23</v>
      </c>
      <c r="T4" s="5" t="s">
        <v>62</v>
      </c>
      <c r="U4" s="1" t="s">
        <v>69</v>
      </c>
    </row>
    <row r="5" spans="1:21" x14ac:dyDescent="0.25">
      <c r="A5" s="2" t="s">
        <v>29</v>
      </c>
      <c r="B5" s="1">
        <v>4</v>
      </c>
      <c r="C5" s="2" t="s">
        <v>29</v>
      </c>
      <c r="D5" s="1">
        <v>663</v>
      </c>
      <c r="E5" s="1" t="s">
        <v>19</v>
      </c>
      <c r="F5" s="1" t="s">
        <v>20</v>
      </c>
      <c r="G5" s="1" t="s">
        <v>21</v>
      </c>
      <c r="H5" s="1" t="s">
        <v>32</v>
      </c>
      <c r="I5" s="1" t="str">
        <f t="shared" si="2"/>
        <v>Exclude_Pre</v>
      </c>
      <c r="J5" s="3">
        <v>45321</v>
      </c>
      <c r="K5" s="3"/>
      <c r="L5" s="7">
        <f t="shared" si="0"/>
        <v>-6474.4285714285716</v>
      </c>
      <c r="M5" s="3" t="s">
        <v>30</v>
      </c>
      <c r="N5" s="4">
        <v>278.55</v>
      </c>
      <c r="O5" s="4">
        <v>355.18</v>
      </c>
      <c r="P5" s="9">
        <f t="shared" si="1"/>
        <v>0.27510321306767183</v>
      </c>
      <c r="Q5" s="5"/>
      <c r="R5" s="5"/>
      <c r="S5" s="5"/>
      <c r="T5" s="5" t="s">
        <v>31</v>
      </c>
      <c r="U5" s="15" t="s">
        <v>70</v>
      </c>
    </row>
    <row r="6" spans="1:21" x14ac:dyDescent="0.25">
      <c r="A6" s="2" t="s">
        <v>39</v>
      </c>
      <c r="B6" s="1">
        <v>8</v>
      </c>
      <c r="C6" s="2" t="s">
        <v>39</v>
      </c>
      <c r="D6" s="1">
        <v>657</v>
      </c>
      <c r="E6" s="1" t="s">
        <v>19</v>
      </c>
      <c r="F6" s="1" t="s">
        <v>20</v>
      </c>
      <c r="G6" s="1" t="s">
        <v>21</v>
      </c>
      <c r="H6" s="1" t="s">
        <v>32</v>
      </c>
      <c r="I6" s="1" t="str">
        <f t="shared" si="2"/>
        <v>Exclude_Pre</v>
      </c>
      <c r="J6" s="3">
        <v>45369</v>
      </c>
      <c r="K6" s="3"/>
      <c r="L6" s="7">
        <f t="shared" si="0"/>
        <v>-6481.2857142857147</v>
      </c>
      <c r="M6" s="3" t="s">
        <v>40</v>
      </c>
      <c r="N6" s="4">
        <v>59.03</v>
      </c>
      <c r="O6" s="4">
        <v>46.43</v>
      </c>
      <c r="P6" s="9">
        <f t="shared" si="1"/>
        <v>-0.21345078773505</v>
      </c>
      <c r="Q6" s="5" t="s">
        <v>41</v>
      </c>
      <c r="R6" s="5" t="s">
        <v>42</v>
      </c>
      <c r="S6" s="5"/>
      <c r="T6" s="5" t="s">
        <v>43</v>
      </c>
      <c r="U6" s="15" t="s">
        <v>70</v>
      </c>
    </row>
    <row r="7" spans="1:21" x14ac:dyDescent="0.25">
      <c r="A7" s="1" t="s">
        <v>38</v>
      </c>
      <c r="B7" s="1">
        <v>7</v>
      </c>
      <c r="C7" s="1" t="s">
        <v>38</v>
      </c>
      <c r="D7" s="1">
        <v>676</v>
      </c>
      <c r="E7" s="1" t="s">
        <v>26</v>
      </c>
      <c r="F7" s="1" t="s">
        <v>20</v>
      </c>
      <c r="G7" s="1" t="s">
        <v>47</v>
      </c>
      <c r="H7" s="1" t="s">
        <v>66</v>
      </c>
      <c r="I7" s="1" t="str">
        <f t="shared" si="2"/>
        <v>Long_Post</v>
      </c>
      <c r="J7" s="3">
        <v>45349</v>
      </c>
      <c r="K7" s="3">
        <v>45768</v>
      </c>
      <c r="L7" s="7">
        <f t="shared" si="0"/>
        <v>59.857142857142854</v>
      </c>
      <c r="M7" s="3" t="s">
        <v>36</v>
      </c>
      <c r="N7" s="4">
        <v>13.92</v>
      </c>
      <c r="O7" s="4">
        <v>11.89</v>
      </c>
      <c r="P7" s="9">
        <f t="shared" si="1"/>
        <v>-0.14583333333333329</v>
      </c>
      <c r="Q7" s="5" t="s">
        <v>23</v>
      </c>
      <c r="R7" s="5" t="s">
        <v>23</v>
      </c>
      <c r="S7" s="5" t="s">
        <v>23</v>
      </c>
      <c r="T7" s="5" t="s">
        <v>37</v>
      </c>
      <c r="U7" s="15"/>
    </row>
    <row r="8" spans="1:21" x14ac:dyDescent="0.25">
      <c r="A8" s="1" t="s">
        <v>46</v>
      </c>
      <c r="B8" s="1">
        <v>11</v>
      </c>
      <c r="C8" s="1" t="s">
        <v>46</v>
      </c>
      <c r="D8" s="1">
        <v>700</v>
      </c>
      <c r="E8" s="1" t="s">
        <v>26</v>
      </c>
      <c r="F8" s="1" t="s">
        <v>20</v>
      </c>
      <c r="G8" s="1" t="s">
        <v>47</v>
      </c>
      <c r="H8" s="1" t="s">
        <v>66</v>
      </c>
      <c r="I8" s="1" t="str">
        <f t="shared" si="2"/>
        <v>Long_Post</v>
      </c>
      <c r="J8" s="3">
        <v>45404</v>
      </c>
      <c r="K8" s="3">
        <v>45936</v>
      </c>
      <c r="L8" s="7">
        <f t="shared" si="0"/>
        <v>76</v>
      </c>
      <c r="M8" s="3" t="s">
        <v>22</v>
      </c>
      <c r="N8" s="4">
        <v>4.49</v>
      </c>
      <c r="O8" s="4">
        <v>2.44</v>
      </c>
      <c r="P8" s="9">
        <f t="shared" si="1"/>
        <v>-0.4565701559020045</v>
      </c>
      <c r="Q8" s="5" t="s">
        <v>23</v>
      </c>
      <c r="R8" s="5" t="s">
        <v>23</v>
      </c>
      <c r="S8" s="5" t="s">
        <v>23</v>
      </c>
      <c r="T8" s="5" t="s">
        <v>24</v>
      </c>
      <c r="U8" s="14"/>
    </row>
    <row r="9" spans="1:21" x14ac:dyDescent="0.25">
      <c r="A9" s="1" t="s">
        <v>48</v>
      </c>
      <c r="B9" s="1">
        <v>23</v>
      </c>
      <c r="C9" s="1" t="s">
        <v>48</v>
      </c>
      <c r="D9" s="1">
        <v>700</v>
      </c>
      <c r="E9" s="1" t="s">
        <v>28</v>
      </c>
      <c r="F9" s="1" t="s">
        <v>20</v>
      </c>
      <c r="G9" s="1" t="s">
        <v>47</v>
      </c>
      <c r="H9" s="1" t="s">
        <v>66</v>
      </c>
      <c r="I9" s="1" t="str">
        <f t="shared" si="2"/>
        <v>Long_Post</v>
      </c>
      <c r="J9" s="3">
        <v>45404</v>
      </c>
      <c r="K9" s="3">
        <v>45936</v>
      </c>
      <c r="L9" s="7">
        <f t="shared" si="0"/>
        <v>76</v>
      </c>
      <c r="M9" s="3" t="s">
        <v>22</v>
      </c>
      <c r="N9" s="4">
        <v>4.49</v>
      </c>
      <c r="O9" s="4">
        <v>2.44</v>
      </c>
      <c r="P9" s="9">
        <f t="shared" si="1"/>
        <v>-0.4565701559020045</v>
      </c>
      <c r="Q9" s="5" t="s">
        <v>23</v>
      </c>
      <c r="R9" s="5" t="s">
        <v>23</v>
      </c>
      <c r="S9" s="5" t="s">
        <v>23</v>
      </c>
      <c r="T9" s="5" t="s">
        <v>24</v>
      </c>
      <c r="U9" s="14"/>
    </row>
    <row r="10" spans="1:21" x14ac:dyDescent="0.25">
      <c r="A10" s="1" t="s">
        <v>51</v>
      </c>
      <c r="B10" s="1">
        <v>13</v>
      </c>
      <c r="C10" s="1" t="s">
        <v>51</v>
      </c>
      <c r="D10" s="1">
        <v>704</v>
      </c>
      <c r="E10" s="1" t="s">
        <v>26</v>
      </c>
      <c r="F10" s="1" t="s">
        <v>20</v>
      </c>
      <c r="G10" s="1" t="s">
        <v>47</v>
      </c>
      <c r="H10" s="1" t="s">
        <v>66</v>
      </c>
      <c r="I10" s="1" t="str">
        <f t="shared" si="2"/>
        <v>Long_Post</v>
      </c>
      <c r="J10" s="3">
        <v>45432</v>
      </c>
      <c r="K10" s="3">
        <v>46139</v>
      </c>
      <c r="L10" s="7">
        <f t="shared" si="0"/>
        <v>101</v>
      </c>
      <c r="M10" s="3"/>
      <c r="N10" s="4">
        <v>278.43</v>
      </c>
      <c r="O10" s="4">
        <v>57.17</v>
      </c>
      <c r="P10" s="9">
        <f t="shared" si="1"/>
        <v>-0.79467011457098724</v>
      </c>
      <c r="Q10" s="5" t="s">
        <v>23</v>
      </c>
      <c r="R10" s="5" t="s">
        <v>23</v>
      </c>
      <c r="S10" s="5" t="s">
        <v>23</v>
      </c>
      <c r="T10" s="5" t="s">
        <v>50</v>
      </c>
      <c r="U10" s="14"/>
    </row>
    <row r="11" spans="1:21" x14ac:dyDescent="0.25">
      <c r="A11" s="1" t="s">
        <v>57</v>
      </c>
      <c r="B11" s="1">
        <v>18</v>
      </c>
      <c r="C11" s="1" t="s">
        <v>57</v>
      </c>
      <c r="D11" s="1">
        <v>283</v>
      </c>
      <c r="E11" s="1" t="s">
        <v>26</v>
      </c>
      <c r="F11" s="1" t="s">
        <v>20</v>
      </c>
      <c r="G11" s="1" t="s">
        <v>47</v>
      </c>
      <c r="H11" s="1" t="s">
        <v>66</v>
      </c>
      <c r="I11" s="1" t="str">
        <f t="shared" si="2"/>
        <v>Long_Post</v>
      </c>
      <c r="J11" s="3">
        <v>45509</v>
      </c>
      <c r="K11" s="3">
        <v>46139</v>
      </c>
      <c r="L11" s="7">
        <f t="shared" si="0"/>
        <v>90</v>
      </c>
      <c r="M11" s="3"/>
      <c r="N11" s="4">
        <v>3.37</v>
      </c>
      <c r="O11" s="4">
        <v>0.41</v>
      </c>
      <c r="P11" s="9">
        <f t="shared" si="1"/>
        <v>-0.87833827893175065</v>
      </c>
      <c r="Q11" s="5" t="s">
        <v>23</v>
      </c>
      <c r="R11" s="5" t="s">
        <v>23</v>
      </c>
      <c r="S11" s="5" t="s">
        <v>23</v>
      </c>
      <c r="T11" s="5" t="s">
        <v>24</v>
      </c>
      <c r="U11" s="14"/>
    </row>
    <row r="12" spans="1:21" x14ac:dyDescent="0.25">
      <c r="A12" s="1" t="s">
        <v>35</v>
      </c>
      <c r="B12" s="1">
        <v>6</v>
      </c>
      <c r="C12" s="1" t="s">
        <v>35</v>
      </c>
      <c r="D12" s="1">
        <v>676</v>
      </c>
      <c r="E12" s="1" t="s">
        <v>19</v>
      </c>
      <c r="F12" s="1" t="s">
        <v>20</v>
      </c>
      <c r="G12" s="1" t="s">
        <v>21</v>
      </c>
      <c r="H12" s="1" t="s">
        <v>66</v>
      </c>
      <c r="I12" s="1" t="str">
        <f t="shared" si="2"/>
        <v>Long_Pre</v>
      </c>
      <c r="J12" s="3">
        <v>45349</v>
      </c>
      <c r="K12" s="3">
        <v>45768</v>
      </c>
      <c r="L12" s="7">
        <f t="shared" si="0"/>
        <v>59.857142857142854</v>
      </c>
      <c r="M12" s="3" t="s">
        <v>36</v>
      </c>
      <c r="N12" s="4">
        <v>13.92</v>
      </c>
      <c r="O12" s="4">
        <v>11.89</v>
      </c>
      <c r="P12" s="9">
        <f t="shared" si="1"/>
        <v>-0.14583333333333329</v>
      </c>
      <c r="Q12" s="5" t="s">
        <v>23</v>
      </c>
      <c r="R12" s="5" t="s">
        <v>23</v>
      </c>
      <c r="S12" s="5" t="s">
        <v>23</v>
      </c>
      <c r="T12" s="5" t="s">
        <v>37</v>
      </c>
      <c r="U12" s="15"/>
    </row>
    <row r="13" spans="1:21" x14ac:dyDescent="0.25">
      <c r="A13" s="1" t="s">
        <v>45</v>
      </c>
      <c r="B13" s="1">
        <v>10</v>
      </c>
      <c r="C13" s="1" t="s">
        <v>45</v>
      </c>
      <c r="D13" s="1">
        <v>700</v>
      </c>
      <c r="E13" s="1" t="s">
        <v>19</v>
      </c>
      <c r="F13" s="1" t="s">
        <v>20</v>
      </c>
      <c r="G13" s="1" t="s">
        <v>21</v>
      </c>
      <c r="H13" s="1" t="s">
        <v>66</v>
      </c>
      <c r="I13" s="1" t="str">
        <f t="shared" si="2"/>
        <v>Long_Pre</v>
      </c>
      <c r="J13" s="3">
        <v>45404</v>
      </c>
      <c r="K13" s="3">
        <v>45936</v>
      </c>
      <c r="L13" s="7">
        <f t="shared" si="0"/>
        <v>76</v>
      </c>
      <c r="M13" s="3" t="s">
        <v>22</v>
      </c>
      <c r="N13" s="4">
        <v>4.49</v>
      </c>
      <c r="O13" s="4">
        <v>2.44</v>
      </c>
      <c r="P13" s="9">
        <f t="shared" si="1"/>
        <v>-0.4565701559020045</v>
      </c>
      <c r="Q13" s="5" t="s">
        <v>23</v>
      </c>
      <c r="R13" s="5" t="s">
        <v>23</v>
      </c>
      <c r="S13" s="5" t="s">
        <v>23</v>
      </c>
      <c r="T13" s="5" t="s">
        <v>24</v>
      </c>
      <c r="U13" s="15"/>
    </row>
    <row r="14" spans="1:21" x14ac:dyDescent="0.25">
      <c r="A14" s="1" t="s">
        <v>49</v>
      </c>
      <c r="B14" s="1">
        <v>12</v>
      </c>
      <c r="C14" s="1" t="s">
        <v>49</v>
      </c>
      <c r="D14" s="1">
        <v>704</v>
      </c>
      <c r="E14" s="1" t="s">
        <v>19</v>
      </c>
      <c r="F14" s="1" t="s">
        <v>20</v>
      </c>
      <c r="G14" s="1" t="s">
        <v>21</v>
      </c>
      <c r="H14" s="1" t="s">
        <v>66</v>
      </c>
      <c r="I14" s="1" t="str">
        <f t="shared" si="2"/>
        <v>Long_Pre</v>
      </c>
      <c r="J14" s="3">
        <v>45432</v>
      </c>
      <c r="K14" s="3">
        <v>46139</v>
      </c>
      <c r="L14" s="7">
        <f t="shared" si="0"/>
        <v>101</v>
      </c>
      <c r="M14" s="3"/>
      <c r="N14" s="4">
        <v>278.43</v>
      </c>
      <c r="O14" s="4">
        <v>57.17</v>
      </c>
      <c r="P14" s="9">
        <f t="shared" si="1"/>
        <v>-0.79467011457098724</v>
      </c>
      <c r="Q14" s="5" t="s">
        <v>23</v>
      </c>
      <c r="R14" s="5" t="s">
        <v>23</v>
      </c>
      <c r="S14" s="5" t="s">
        <v>23</v>
      </c>
      <c r="T14" s="5" t="s">
        <v>50</v>
      </c>
      <c r="U14" s="14"/>
    </row>
    <row r="15" spans="1:21" x14ac:dyDescent="0.25">
      <c r="A15" s="1" t="s">
        <v>56</v>
      </c>
      <c r="B15" s="1">
        <v>17</v>
      </c>
      <c r="C15" s="1" t="s">
        <v>56</v>
      </c>
      <c r="D15" s="1">
        <v>283</v>
      </c>
      <c r="E15" s="1" t="s">
        <v>19</v>
      </c>
      <c r="F15" s="1" t="s">
        <v>20</v>
      </c>
      <c r="G15" s="1" t="s">
        <v>21</v>
      </c>
      <c r="H15" s="1" t="s">
        <v>66</v>
      </c>
      <c r="I15" s="1" t="str">
        <f t="shared" si="2"/>
        <v>Long_Pre</v>
      </c>
      <c r="J15" s="3">
        <v>45509</v>
      </c>
      <c r="K15" s="3">
        <v>46139</v>
      </c>
      <c r="L15" s="7">
        <f t="shared" si="0"/>
        <v>90</v>
      </c>
      <c r="M15" s="3"/>
      <c r="N15" s="4">
        <v>3.37</v>
      </c>
      <c r="O15" s="4">
        <v>0.41</v>
      </c>
      <c r="P15" s="9">
        <f t="shared" si="1"/>
        <v>-0.87833827893175065</v>
      </c>
      <c r="Q15" s="5" t="s">
        <v>23</v>
      </c>
      <c r="R15" s="5" t="s">
        <v>23</v>
      </c>
      <c r="S15" s="5" t="s">
        <v>23</v>
      </c>
      <c r="T15" s="5" t="s">
        <v>24</v>
      </c>
      <c r="U15" s="14"/>
    </row>
    <row r="16" spans="1:21" x14ac:dyDescent="0.25">
      <c r="A16" s="1" t="s">
        <v>25</v>
      </c>
      <c r="B16" s="1">
        <v>2</v>
      </c>
      <c r="C16" s="1" t="s">
        <v>25</v>
      </c>
      <c r="D16" s="1">
        <v>361</v>
      </c>
      <c r="E16" s="1" t="s">
        <v>26</v>
      </c>
      <c r="F16" s="1" t="s">
        <v>20</v>
      </c>
      <c r="G16" s="1" t="s">
        <v>47</v>
      </c>
      <c r="H16" s="1" t="s">
        <v>67</v>
      </c>
      <c r="I16" s="1" t="str">
        <f t="shared" si="2"/>
        <v>Short_Post</v>
      </c>
      <c r="J16" s="6">
        <v>45299</v>
      </c>
      <c r="K16" s="6">
        <v>45492</v>
      </c>
      <c r="L16" s="7">
        <f t="shared" si="0"/>
        <v>27.571428571428573</v>
      </c>
      <c r="M16" s="6" t="s">
        <v>22</v>
      </c>
      <c r="N16" s="8">
        <v>7.59</v>
      </c>
      <c r="O16" s="8">
        <v>7.91</v>
      </c>
      <c r="P16" s="9">
        <f t="shared" si="1"/>
        <v>4.2160737812911762E-2</v>
      </c>
      <c r="Q16" s="10" t="s">
        <v>23</v>
      </c>
      <c r="R16" s="10" t="s">
        <v>23</v>
      </c>
      <c r="S16" s="10" t="s">
        <v>23</v>
      </c>
      <c r="T16" s="10" t="s">
        <v>24</v>
      </c>
      <c r="U16" s="14"/>
    </row>
    <row r="17" spans="1:21" x14ac:dyDescent="0.25">
      <c r="A17" s="1" t="s">
        <v>27</v>
      </c>
      <c r="B17" s="1">
        <v>3</v>
      </c>
      <c r="C17" s="1" t="s">
        <v>27</v>
      </c>
      <c r="D17" s="1">
        <v>361</v>
      </c>
      <c r="E17" s="1" t="s">
        <v>28</v>
      </c>
      <c r="F17" s="1" t="s">
        <v>20</v>
      </c>
      <c r="G17" s="1" t="s">
        <v>47</v>
      </c>
      <c r="H17" s="1" t="s">
        <v>67</v>
      </c>
      <c r="I17" s="1" t="str">
        <f t="shared" si="2"/>
        <v>Short_Post</v>
      </c>
      <c r="J17" s="6">
        <v>45299</v>
      </c>
      <c r="K17" s="6">
        <v>45492</v>
      </c>
      <c r="L17" s="7">
        <f t="shared" si="0"/>
        <v>27.571428571428573</v>
      </c>
      <c r="M17" s="6" t="s">
        <v>22</v>
      </c>
      <c r="N17" s="8">
        <v>7.59</v>
      </c>
      <c r="O17" s="8">
        <v>7.91</v>
      </c>
      <c r="P17" s="9">
        <f t="shared" si="1"/>
        <v>4.2160737812911762E-2</v>
      </c>
      <c r="Q17" s="10" t="s">
        <v>23</v>
      </c>
      <c r="R17" s="10" t="s">
        <v>23</v>
      </c>
      <c r="S17" s="10" t="s">
        <v>23</v>
      </c>
      <c r="T17" s="10" t="s">
        <v>24</v>
      </c>
      <c r="U17" s="14"/>
    </row>
    <row r="18" spans="1:21" x14ac:dyDescent="0.25">
      <c r="A18" s="1" t="s">
        <v>54</v>
      </c>
      <c r="B18" s="1">
        <v>15</v>
      </c>
      <c r="C18" s="1" t="s">
        <v>54</v>
      </c>
      <c r="D18" s="1">
        <v>692</v>
      </c>
      <c r="E18" s="1" t="s">
        <v>26</v>
      </c>
      <c r="F18" s="1" t="s">
        <v>20</v>
      </c>
      <c r="G18" s="1" t="s">
        <v>47</v>
      </c>
      <c r="H18" s="1" t="s">
        <v>67</v>
      </c>
      <c r="I18" s="1" t="str">
        <f t="shared" si="2"/>
        <v>Short_Post</v>
      </c>
      <c r="J18" s="3">
        <v>45495</v>
      </c>
      <c r="K18" s="3"/>
      <c r="L18" s="7">
        <f t="shared" si="0"/>
        <v>-6499.2857142857147</v>
      </c>
      <c r="M18" s="1" t="s">
        <v>53</v>
      </c>
      <c r="N18" s="4">
        <v>5.63</v>
      </c>
      <c r="O18" s="4">
        <v>5.3</v>
      </c>
      <c r="P18" s="9">
        <f t="shared" si="1"/>
        <v>-5.8614564831261116E-2</v>
      </c>
      <c r="Q18" s="5" t="s">
        <v>23</v>
      </c>
      <c r="R18" s="5" t="s">
        <v>23</v>
      </c>
      <c r="S18" s="5" t="s">
        <v>23</v>
      </c>
      <c r="T18" s="5" t="s">
        <v>37</v>
      </c>
      <c r="U18" s="14"/>
    </row>
    <row r="19" spans="1:21" x14ac:dyDescent="0.25">
      <c r="A19" s="1" t="s">
        <v>55</v>
      </c>
      <c r="B19" s="1">
        <v>16</v>
      </c>
      <c r="C19" s="1" t="s">
        <v>55</v>
      </c>
      <c r="D19" s="1">
        <v>692</v>
      </c>
      <c r="E19" s="1" t="s">
        <v>28</v>
      </c>
      <c r="F19" s="1" t="s">
        <v>20</v>
      </c>
      <c r="G19" s="1" t="s">
        <v>47</v>
      </c>
      <c r="H19" s="1" t="s">
        <v>67</v>
      </c>
      <c r="I19" s="1" t="str">
        <f t="shared" si="2"/>
        <v>Short_Post</v>
      </c>
      <c r="J19" s="3">
        <v>45495</v>
      </c>
      <c r="K19" s="3"/>
      <c r="L19" s="7">
        <f t="shared" si="0"/>
        <v>-6499.2857142857147</v>
      </c>
      <c r="M19" s="1" t="s">
        <v>53</v>
      </c>
      <c r="N19" s="4">
        <v>5.63</v>
      </c>
      <c r="O19" s="4">
        <v>5.3</v>
      </c>
      <c r="P19" s="9">
        <f t="shared" si="1"/>
        <v>-5.8614564831261116E-2</v>
      </c>
      <c r="Q19" s="5" t="s">
        <v>23</v>
      </c>
      <c r="R19" s="5" t="s">
        <v>23</v>
      </c>
      <c r="S19" s="5" t="s">
        <v>23</v>
      </c>
      <c r="T19" s="5" t="s">
        <v>37</v>
      </c>
      <c r="U19" s="14"/>
    </row>
    <row r="20" spans="1:21" x14ac:dyDescent="0.25">
      <c r="A20" s="1" t="s">
        <v>60</v>
      </c>
      <c r="B20" s="1">
        <v>20</v>
      </c>
      <c r="C20" s="1" t="s">
        <v>60</v>
      </c>
      <c r="D20" s="1">
        <v>772</v>
      </c>
      <c r="E20" s="1" t="s">
        <v>26</v>
      </c>
      <c r="F20" s="1" t="s">
        <v>20</v>
      </c>
      <c r="G20" s="1" t="s">
        <v>47</v>
      </c>
      <c r="H20" s="1" t="s">
        <v>67</v>
      </c>
      <c r="I20" s="1" t="str">
        <f t="shared" si="2"/>
        <v>Short_Post</v>
      </c>
      <c r="J20" s="3">
        <v>45636</v>
      </c>
      <c r="K20" s="3">
        <v>45723</v>
      </c>
      <c r="L20" s="7">
        <f t="shared" si="0"/>
        <v>12.428571428571429</v>
      </c>
      <c r="M20" s="3"/>
      <c r="N20" s="4">
        <v>20.59</v>
      </c>
      <c r="O20" s="4">
        <v>16.66</v>
      </c>
      <c r="P20" s="9">
        <f t="shared" si="1"/>
        <v>-0.19086935405536667</v>
      </c>
      <c r="Q20" s="5" t="s">
        <v>23</v>
      </c>
      <c r="R20" s="5"/>
      <c r="S20" s="5"/>
      <c r="T20" s="5" t="s">
        <v>24</v>
      </c>
      <c r="U20" s="5" t="s">
        <v>59</v>
      </c>
    </row>
    <row r="21" spans="1:21" x14ac:dyDescent="0.25">
      <c r="A21" s="1" t="s">
        <v>63</v>
      </c>
      <c r="B21" s="1">
        <v>22</v>
      </c>
      <c r="C21" s="1" t="s">
        <v>63</v>
      </c>
      <c r="D21" s="1">
        <v>557</v>
      </c>
      <c r="E21" s="1" t="s">
        <v>26</v>
      </c>
      <c r="F21" s="1" t="s">
        <v>20</v>
      </c>
      <c r="G21" s="1" t="s">
        <v>47</v>
      </c>
      <c r="H21" s="1" t="s">
        <v>67</v>
      </c>
      <c r="I21" s="1" t="str">
        <f t="shared" si="2"/>
        <v>Short_Post</v>
      </c>
      <c r="J21" s="3">
        <v>45768</v>
      </c>
      <c r="K21" s="3">
        <v>46020</v>
      </c>
      <c r="L21" s="7">
        <f t="shared" si="0"/>
        <v>36</v>
      </c>
      <c r="M21" s="3" t="s">
        <v>22</v>
      </c>
      <c r="N21" s="4">
        <v>0.82</v>
      </c>
      <c r="O21" s="4">
        <v>0.41</v>
      </c>
      <c r="P21" s="9">
        <f t="shared" si="1"/>
        <v>-0.5</v>
      </c>
      <c r="Q21" s="5" t="s">
        <v>23</v>
      </c>
      <c r="R21" s="5" t="s">
        <v>23</v>
      </c>
      <c r="S21" s="5" t="s">
        <v>23</v>
      </c>
      <c r="T21" s="5" t="s">
        <v>62</v>
      </c>
      <c r="U21" s="1"/>
    </row>
    <row r="22" spans="1:21" x14ac:dyDescent="0.25">
      <c r="A22" s="1" t="s">
        <v>18</v>
      </c>
      <c r="B22" s="1">
        <v>1</v>
      </c>
      <c r="C22" s="1" t="s">
        <v>18</v>
      </c>
      <c r="D22" s="1">
        <v>361</v>
      </c>
      <c r="E22" s="1" t="s">
        <v>19</v>
      </c>
      <c r="F22" s="1" t="s">
        <v>20</v>
      </c>
      <c r="G22" s="1" t="s">
        <v>21</v>
      </c>
      <c r="H22" s="1" t="s">
        <v>67</v>
      </c>
      <c r="I22" s="1" t="str">
        <f t="shared" si="2"/>
        <v>Short_Pre</v>
      </c>
      <c r="J22" s="6">
        <v>45299</v>
      </c>
      <c r="K22" s="6">
        <v>45492</v>
      </c>
      <c r="L22" s="7">
        <f t="shared" si="0"/>
        <v>27.571428571428573</v>
      </c>
      <c r="M22" s="6" t="s">
        <v>22</v>
      </c>
      <c r="N22" s="8">
        <v>7.59</v>
      </c>
      <c r="O22" s="8">
        <v>7.91</v>
      </c>
      <c r="P22" s="9">
        <f t="shared" si="1"/>
        <v>4.2160737812911762E-2</v>
      </c>
      <c r="Q22" s="10" t="s">
        <v>23</v>
      </c>
      <c r="R22" s="10" t="s">
        <v>23</v>
      </c>
      <c r="S22" s="10" t="s">
        <v>23</v>
      </c>
      <c r="T22" s="10" t="s">
        <v>24</v>
      </c>
      <c r="U22" s="13"/>
    </row>
    <row r="23" spans="1:21" x14ac:dyDescent="0.25">
      <c r="A23" s="1" t="s">
        <v>52</v>
      </c>
      <c r="B23" s="1">
        <v>14</v>
      </c>
      <c r="C23" s="1" t="s">
        <v>52</v>
      </c>
      <c r="D23" s="1">
        <v>692</v>
      </c>
      <c r="E23" s="1" t="s">
        <v>19</v>
      </c>
      <c r="F23" s="1" t="s">
        <v>20</v>
      </c>
      <c r="G23" s="1" t="s">
        <v>21</v>
      </c>
      <c r="H23" s="1" t="s">
        <v>67</v>
      </c>
      <c r="I23" s="1" t="str">
        <f t="shared" si="2"/>
        <v>Short_Pre</v>
      </c>
      <c r="J23" s="3">
        <v>45495</v>
      </c>
      <c r="K23" s="3"/>
      <c r="L23" s="7">
        <f t="shared" si="0"/>
        <v>-6499.2857142857147</v>
      </c>
      <c r="M23" s="1" t="s">
        <v>53</v>
      </c>
      <c r="N23" s="4">
        <v>5.63</v>
      </c>
      <c r="O23" s="4">
        <v>5.3</v>
      </c>
      <c r="P23" s="9">
        <f t="shared" si="1"/>
        <v>-5.8614564831261116E-2</v>
      </c>
      <c r="Q23" s="5" t="s">
        <v>23</v>
      </c>
      <c r="R23" s="5" t="s">
        <v>23</v>
      </c>
      <c r="S23" s="5" t="s">
        <v>23</v>
      </c>
      <c r="T23" s="5" t="s">
        <v>37</v>
      </c>
      <c r="U23" s="16"/>
    </row>
    <row r="24" spans="1:21" x14ac:dyDescent="0.25">
      <c r="A24" s="1" t="s">
        <v>58</v>
      </c>
      <c r="B24" s="1">
        <v>19</v>
      </c>
      <c r="C24" s="1" t="s">
        <v>58</v>
      </c>
      <c r="D24" s="1">
        <v>772</v>
      </c>
      <c r="E24" s="1" t="s">
        <v>19</v>
      </c>
      <c r="F24" s="1" t="s">
        <v>20</v>
      </c>
      <c r="G24" s="1" t="s">
        <v>21</v>
      </c>
      <c r="H24" s="1" t="s">
        <v>67</v>
      </c>
      <c r="I24" s="1" t="str">
        <f t="shared" si="2"/>
        <v>Short_Pre</v>
      </c>
      <c r="J24" s="3">
        <v>45636</v>
      </c>
      <c r="K24" s="3">
        <v>45723</v>
      </c>
      <c r="L24" s="7">
        <f t="shared" si="0"/>
        <v>12.428571428571429</v>
      </c>
      <c r="M24" s="3"/>
      <c r="N24" s="4">
        <v>20.59</v>
      </c>
      <c r="O24" s="4">
        <v>16.66</v>
      </c>
      <c r="P24" s="9">
        <f t="shared" si="1"/>
        <v>-0.19086935405536667</v>
      </c>
      <c r="Q24" s="5" t="s">
        <v>23</v>
      </c>
      <c r="R24" s="5"/>
      <c r="S24" s="5"/>
      <c r="T24" s="5" t="s">
        <v>24</v>
      </c>
      <c r="U24" s="5" t="s">
        <v>59</v>
      </c>
    </row>
    <row r="25" spans="1:21" x14ac:dyDescent="0.25">
      <c r="A25" s="1" t="s">
        <v>61</v>
      </c>
      <c r="B25" s="1">
        <v>21</v>
      </c>
      <c r="C25" s="1" t="s">
        <v>61</v>
      </c>
      <c r="D25" s="1">
        <v>557</v>
      </c>
      <c r="E25" s="1" t="s">
        <v>19</v>
      </c>
      <c r="F25" s="1" t="s">
        <v>20</v>
      </c>
      <c r="G25" s="1" t="s">
        <v>21</v>
      </c>
      <c r="H25" s="1" t="s">
        <v>67</v>
      </c>
      <c r="I25" s="1" t="str">
        <f t="shared" si="2"/>
        <v>Short_Pre</v>
      </c>
      <c r="J25" s="3">
        <v>45768</v>
      </c>
      <c r="K25" s="3">
        <v>46020</v>
      </c>
      <c r="L25" s="7">
        <f t="shared" si="0"/>
        <v>36</v>
      </c>
      <c r="M25" s="3" t="s">
        <v>22</v>
      </c>
      <c r="N25" s="4">
        <v>0.82</v>
      </c>
      <c r="O25" s="4">
        <v>0.41</v>
      </c>
      <c r="P25" s="9">
        <f t="shared" si="1"/>
        <v>-0.5</v>
      </c>
      <c r="Q25" s="5" t="s">
        <v>23</v>
      </c>
      <c r="R25" s="5" t="s">
        <v>23</v>
      </c>
      <c r="S25" s="5" t="s">
        <v>23</v>
      </c>
      <c r="T25" s="5" t="s">
        <v>62</v>
      </c>
      <c r="U25" s="5"/>
    </row>
  </sheetData>
  <sortState xmlns:xlrd2="http://schemas.microsoft.com/office/spreadsheetml/2017/richdata2" ref="A2:U25">
    <sortCondition ref="H2:H25"/>
    <sortCondition ref="G2:G25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2026-05-15T19:00:18Z</dcterms:modified>
</cp:coreProperties>
</file>